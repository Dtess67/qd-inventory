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Dev\QD_Rover\qd-inventory\data\"/>
    </mc:Choice>
  </mc:AlternateContent>
  <xr:revisionPtr revIDLastSave="0" documentId="13_ncr:1_{4D5C4100-6265-4E81-B22D-5931CC750A6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ad Me" sheetId="1" r:id="rId1"/>
    <sheet name="Inventory" sheetId="2" r:id="rId2"/>
    <sheet name="Fla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" i="2" l="1"/>
  <c r="P8" i="2"/>
  <c r="P7" i="2"/>
  <c r="P6" i="2"/>
  <c r="P5" i="2"/>
</calcChain>
</file>

<file path=xl/sharedStrings.xml><?xml version="1.0" encoding="utf-8"?>
<sst xmlns="http://schemas.openxmlformats.org/spreadsheetml/2006/main" count="1299" uniqueCount="706">
  <si>
    <t>QD — Electronics Inventory &amp; Design-Flag Tracker</t>
  </si>
  <si>
    <t>Dual purpose: (1) QD build BOM, and (2) general electronics library for future projects. More batches still to log.</t>
  </si>
  <si>
    <t xml:space="preserve">  Allocation / Reuse</t>
  </si>
  <si>
    <t>Cross-build view: Committed: QD v1 = spoken for. QD v1.5+ = earmarked. Free - library = available for any future build (incl. the 'redundant-for-QD' stock). Bench equipment = tools.</t>
  </si>
  <si>
    <t xml:space="preserve">  Inventory</t>
  </si>
  <si>
    <t>Every part catalogued so far. Sort/filter by Subsystem or 'QD v1 Use'.</t>
  </si>
  <si>
    <t xml:space="preserve">  Flags</t>
  </si>
  <si>
    <t>Running list of open design questions surfaced during cataloguing. The reason this sheet exists.</t>
  </si>
  <si>
    <t>Key columns on Inventory</t>
  </si>
  <si>
    <t xml:space="preserve">  Status</t>
  </si>
  <si>
    <t>'In hand (photo)' = visually confirmed from a photo.  'Per records' = known from project notes, NOT yet photo-verified here.</t>
  </si>
  <si>
    <t xml:space="preserve">  QD v1 Use</t>
  </si>
  <si>
    <t>Core = needed for v1.  Later = v1.5+ / scope question.  Support = bench equipment.  Spare = surplus beyond build need.</t>
  </si>
  <si>
    <t xml:space="preserve">  Photo</t>
  </si>
  <si>
    <t>What image backs the row. 'Mfr ref' = catalog image available. 'Thread (doc shot)' = packaging/slip photo only. 'Needs clean shot' = re-photograph the isolated part.</t>
  </si>
  <si>
    <t>Photo column — honest status</t>
  </si>
  <si>
    <t xml:space="preserve">  </t>
  </si>
  <si>
    <t>Earlier batch photos were documentation shots (slips, boxes), not isolated parts, and aren't retained as files. Drop clean part images in as they're taken.</t>
  </si>
  <si>
    <t>Operating principle</t>
  </si>
  <si>
    <t>Truth over comfort. Quantities marked 'tentative' are unconfirmed counts; flags are not dropped between batches.</t>
  </si>
  <si>
    <t>Last updated</t>
  </si>
  <si>
    <t>Bench instruments: Tacklife MDC02 DC supply (CC limit = safe first power-on; develop OFF the LiPo; verify ~5A ceiling vs motor stall) + Hantek DSO5102P 2ch 100MHz scope (signal-integrity debug for F1 encoder / F9 WS2812 / F10+F12 I2C / F13 rail noise / F18 PWM). With the DMM = full diagnostic trio (meter/supply/scope).</t>
  </si>
  <si>
    <t>QD — Electronics Inventory</t>
  </si>
  <si>
    <t>In hand unless noted. 'Per records' rows are not yet photo-verified.</t>
  </si>
  <si>
    <t>ID</t>
  </si>
  <si>
    <t>Component</t>
  </si>
  <si>
    <t>Mfr / Part #</t>
  </si>
  <si>
    <t>Subsystem</t>
  </si>
  <si>
    <t>Qty</t>
  </si>
  <si>
    <t>Unit</t>
  </si>
  <si>
    <t>Status</t>
  </si>
  <si>
    <t>QD v1 Use</t>
  </si>
  <si>
    <t>Key Specs / Notes</t>
  </si>
  <si>
    <t>Supplier</t>
  </si>
  <si>
    <t>Source / Order</t>
  </si>
  <si>
    <t>Photo</t>
  </si>
  <si>
    <t>Allocation / Reuse</t>
  </si>
  <si>
    <t>Summary</t>
  </si>
  <si>
    <t>Raspberry Pi 3</t>
  </si>
  <si>
    <t>Compute</t>
  </si>
  <si>
    <t>board</t>
  </si>
  <si>
    <t>In hand (photo)</t>
  </si>
  <si>
    <t>Core</t>
  </si>
  <si>
    <t>CanaKit Complete Starter Kit (32GB). Model B/B+ - confirm (Q5). ~26 usable GPIO; I2C/SPI/I2S/PWM. Comes OUT of CanaKit case -&gt; M2.5 standoffs (F7). Enclosed-body heat -&gt; F15. SD-corruption on power-loss -&gt; F14.</t>
  </si>
  <si>
    <t>CanaKit</t>
  </si>
  <si>
    <t>CanaKit kit X0001YXAG7L</t>
  </si>
  <si>
    <t>Thread (doc shot)</t>
  </si>
  <si>
    <t>Committed: QD v1</t>
  </si>
  <si>
    <t>Line items logged</t>
  </si>
  <si>
    <t>Pi Global Shutter Camera (wide-angle)</t>
  </si>
  <si>
    <t>Raspberry Pi GS</t>
  </si>
  <si>
    <t>Sensing</t>
  </si>
  <si>
    <t>unit</t>
  </si>
  <si>
    <t>In hand (invoice)</t>
  </si>
  <si>
    <t>Global Shutter, CS-mount (PID 5702). 6mm wide lens + 24in flex now logged separately. Confirmed.</t>
  </si>
  <si>
    <t>DigiKey</t>
  </si>
  <si>
    <t>DK/Adafruit 3635011 (18 Feb 2026)</t>
  </si>
  <si>
    <t>Mfr ref</t>
  </si>
  <si>
    <t>ToF distance sensor VL53L4CD</t>
  </si>
  <si>
    <t>Adafruit 5396 (VL53L4CD)</t>
  </si>
  <si>
    <t>STEMMA QT breakout, ~1-1300mm. Both addr 0x29 -&gt; isolate via PCA9548 mux. Ridge-mounted, flank camera.</t>
  </si>
  <si>
    <t>QD v1.5+ / reusable</t>
  </si>
  <si>
    <t>47:1 Metal Gearmotor 25Dx67L LP 12V, 48 CPR encoder</t>
  </si>
  <si>
    <t>Pololu 4885</t>
  </si>
  <si>
    <t>Drive</t>
  </si>
  <si>
    <t>12V LP, stall 0.9A, free-run 60mA. 4mm D-shaft. Enc: 2248.86 cts/output-rev. ENCODER Vcc 3.5-20V, outputs swing to Vcc — see Flag F1.</t>
  </si>
  <si>
    <t>Pololu</t>
  </si>
  <si>
    <t>Pololu SO 1J584435 (24 Apr 2026)</t>
  </si>
  <si>
    <t>Free - library</t>
  </si>
  <si>
    <t>Multi-Hub Wheel 80x10mm, 3/4mm inserts, black</t>
  </si>
  <si>
    <t>Pololu 3690</t>
  </si>
  <si>
    <t>wheel (1x 2-pack)</t>
  </si>
  <si>
    <t>Core — verify vs TPU plan</t>
  </si>
  <si>
    <t>4mm insert fits motor shaft. 80mm dia &gt; 72mm body height — see Flag F2. Locked design called for printed TPU wheels.</t>
  </si>
  <si>
    <t>Pololu SO 1J584435</t>
  </si>
  <si>
    <t>Bench equipment</t>
  </si>
  <si>
    <t>TB6612FNG Dual Motor Driver Carrier</t>
  </si>
  <si>
    <t>Pololu 713</t>
  </si>
  <si>
    <t>1.2A cont / 3.2A peak per ch. Survives 0.9A LP stall. VMOT max 13.5V &gt; 12.6V pack OK. Needs PWMx2+4 dir+STBY GPIO.</t>
  </si>
  <si>
    <t>Ball Caster, 1in plastic ball + bearings</t>
  </si>
  <si>
    <t>Pololu 2692</t>
  </si>
  <si>
    <t>3rd contact point -&gt; differential drive. Caster+shim height must match wheel axle for level deck — see Flag F2.</t>
  </si>
  <si>
    <t>D24V22F5 — 5V 2.5A Step-Down Regulator</t>
  </si>
  <si>
    <t>Pololu 2858</t>
  </si>
  <si>
    <t>Power</t>
  </si>
  <si>
    <t>Buck for Pi/logic 5V rail. Input from 3S pack stays &gt;5V across full discharge — no brownout.</t>
  </si>
  <si>
    <t>Blade fuse assortment (ATO/ATC), 120pc</t>
  </si>
  <si>
    <t>Generic</t>
  </si>
  <si>
    <t>kit</t>
  </si>
  <si>
    <t>Core (5-7.5A); rest spare</t>
  </si>
  <si>
    <t>5/7.5/10/15/20/25/30A. QD main fuse = 5A or 7.5A. 15A+ would pass enough to melt small wiring — do not use.</t>
  </si>
  <si>
    <t>Amazon</t>
  </si>
  <si>
    <t>Batch photo</t>
  </si>
  <si>
    <t>Inline blade fuse holder, ~16AWG leads</t>
  </si>
  <si>
    <t>Generic ATO</t>
  </si>
  <si>
    <t>Core (x1); 9 spare</t>
  </si>
  <si>
    <t>One installed in pack +lead. Standard ATO size. ~16AWG leads vs 22AWG bus — bracket both in crimp.</t>
  </si>
  <si>
    <t>XT60H connectors, M+F, w/ insulating caps</t>
  </si>
  <si>
    <t>Generic XT60H</t>
  </si>
  <si>
    <t>pair (tentative)</t>
  </si>
  <si>
    <t>Core (x1); spare</t>
  </si>
  <si>
    <t>COUNT UNCONFIRMED. 60A rated (&gt;&gt;4A draw). Solder-cup — fill cup for 22AWG. Female on battery side.</t>
  </si>
  <si>
    <t>Batch photo (X00298J8CN)</t>
  </si>
  <si>
    <t>Zeee 3S 2200mAh 50C LiPo (XT60)</t>
  </si>
  <si>
    <t>Zeee</t>
  </si>
  <si>
    <t>pack</t>
  </si>
  <si>
    <t>Core (x1 + swap/spare)</t>
  </si>
  <si>
    <t>11.1V nom / 12.6V full / 24.42Wh. Ships XT60 (matches XT60H). STORE at 3.8V/cell between sessions. See Flags F3 (runtime LVC) + F2 (CG).</t>
  </si>
  <si>
    <t>Batch photo (X003R393X3)</t>
  </si>
  <si>
    <t>SKYRC iMAX B6AC V2 balance charger/discharger</t>
  </si>
  <si>
    <t>SKYRC</t>
  </si>
  <si>
    <t>Power / Support</t>
  </si>
  <si>
    <t>Support equip (off-board)</t>
  </si>
  <si>
    <t>AC/DC, 6A chg / 2A dischg, LiPo 1-6S. Balances 3S. Has STORAGE mode (3.8V/cell). Charge 3S at ~2.2A (1C), not 6A. Needs XT60 charge lead — see Flag F5.</t>
  </si>
  <si>
    <t>DaierTek KCD1-101 SPST rocker switch + spade pigtails</t>
  </si>
  <si>
    <t>DaierTek KCD1-101</t>
  </si>
  <si>
    <t>Power / Control</t>
  </si>
  <si>
    <t>~6A. On/off between runs (saves XT60 cycles). Needs ~19x13mm panel cutout NOT in locked CAD — see Flag F4. Wire: fuse upstream of switch.</t>
  </si>
  <si>
    <t>Batch photo (X0026LFTL7)</t>
  </si>
  <si>
    <t>Fermerry 22AWG stranded silicone hookup wire, 6 colors</t>
  </si>
  <si>
    <t>Fermerry</t>
  </si>
  <si>
    <t>Wiring</t>
  </si>
  <si>
    <t>ft (25ft x6)</t>
  </si>
  <si>
    <t>Silicone = good for v1.5 ridge flex. 22AWG fine everywhere; thinnest acceptable on pack +lead (consider 20/18AWG there).</t>
  </si>
  <si>
    <t>Batch photo (B089D29FHC)</t>
  </si>
  <si>
    <t>JST-XH 2.54mm connector kit (2P-10P) + pre-crimped silicone leads</t>
  </si>
  <si>
    <t>elechawk</t>
  </si>
  <si>
    <t>Body-to-ridge bus connector family. Inherently keyed. 6P = locked spec; 8P available if upsizing — but mux may collapse to 4-wire I2C. See Flag F6.</t>
  </si>
  <si>
    <t>Heat-shrink tubing kit, 2:1, 1-8mm, 580pc</t>
  </si>
  <si>
    <t>Ginsco</t>
  </si>
  <si>
    <t>Core (consumable)</t>
  </si>
  <si>
    <t>-55 to +125C. Non-adhesive. Needs a HEAT GUN, not a lighter — confirm one is owned (tool note).</t>
  </si>
  <si>
    <t>Batch photo (X004BR2OM1)</t>
  </si>
  <si>
    <t>M2.5 brass standoff/screw/nut kit, 100pc</t>
  </si>
  <si>
    <t>Geekworm</t>
  </si>
  <si>
    <t>Compute / Mounting</t>
  </si>
  <si>
    <t>kit (tentative)</t>
  </si>
  <si>
    <t>COUNT TENTATIVE (1 open + 1 sealed). M2.5 = Pi standard (chassis is M3 — two fastener systems). Mount method undecided — see Flag F7.</t>
  </si>
  <si>
    <t>Amazon (geekworm)</t>
  </si>
  <si>
    <t>Batch photo (X001K0GBSF)</t>
  </si>
  <si>
    <t>STEMMA QT JST-SH 4-pin to male header cable</t>
  </si>
  <si>
    <t>Adafruit 4209</t>
  </si>
  <si>
    <t>Wiring / Sensor</t>
  </si>
  <si>
    <t>cable</t>
  </si>
  <si>
    <t>In hand (records/slip)</t>
  </si>
  <si>
    <t>Breaks STEMMA QT I2C out to header pins (e.g. to Pi).</t>
  </si>
  <si>
    <t>DK SO 97540383 (24 Feb 2026)</t>
  </si>
  <si>
    <t>STEMMA QT / Qwiic JST-SH 4-pin cable, 150mm</t>
  </si>
  <si>
    <t>Adafruit 4397</t>
  </si>
  <si>
    <t>Plug-and-play I2C chaining. JST-SH (1.0mm) — small; NOT ideal for flex joint vs JST-XH. See Flag F6.</t>
  </si>
  <si>
    <t>DK SO 97540383</t>
  </si>
  <si>
    <t>PMSA003I Air-Quality (PM2.5) sensor, STEMMA QT</t>
  </si>
  <si>
    <t>Adafruit 4632</t>
  </si>
  <si>
    <t>Later (v1.5+)</t>
  </si>
  <si>
    <t>I2C particulate sensor — new environmental modality. Scope question vs locked v1 — see Flag F8.</t>
  </si>
  <si>
    <t>PCA9548 8-channel I2C multiplexer, STEMMA QT</t>
  </si>
  <si>
    <t>Adafruit 5626</t>
  </si>
  <si>
    <t>Sensing / Infra</t>
  </si>
  <si>
    <t>Core (infrastructure)</t>
  </si>
  <si>
    <t>Resolves ToF 0x29 address collision. One in ridge can collapse body-to-ridge run to 4-wire I2C. See Flag F6.</t>
  </si>
  <si>
    <t>Magnetic reed contact switch, SPST-NO w/ leads</t>
  </si>
  <si>
    <t>Adafruit 375</t>
  </si>
  <si>
    <t>Later / TBD</t>
  </si>
  <si>
    <t>Reed + magnet (NOT vibration sensor). Possible use: swappable front-module presence/keying, or hatch sense. Confirm intent.</t>
  </si>
  <si>
    <t>BNO085 9-DOF Orientation IMU (fusion)</t>
  </si>
  <si>
    <t>Adafruit 4754</t>
  </si>
  <si>
    <t>Core (x1) + 2nd TBD</t>
  </si>
  <si>
    <t>Proprioception — addresses tip-over (F2). Known Pi I2C clock-stretch issue: use UART-RVC/SPI — see Flag F10. 2nd unit: body+ridge or spare? (open Q).</t>
  </si>
  <si>
    <t>SPH0645LM4H I2S MEMS microphone</t>
  </si>
  <si>
    <t>Adafruit 3421</t>
  </si>
  <si>
    <t>AUDIO via I2S (not I2C) — separate Pi bus/GPIO. Two = stereo. PCM peripheral conflicts w/ WS2812 LED — see Flag F9.</t>
  </si>
  <si>
    <t>Adafruit KB2040 (RP2040) co-processor</t>
  </si>
  <si>
    <t>Adafruit 5302</t>
  </si>
  <si>
    <t>Core? (decision)</t>
  </si>
  <si>
    <t>RP2040 MCU (free w/ order). Candidate real-time co-pro: Layer-1 reflex (deterministic), PIO quadrature for encoders, PIO WS2812 (sidesteps F9), I2S. Architecture decision -&gt; Flag F11.</t>
  </si>
  <si>
    <t>Adafruit/DigiKey</t>
  </si>
  <si>
    <t>BSS138 4-ch I2C-safe logic level converter</t>
  </si>
  <si>
    <t>Adafruit 757</t>
  </si>
  <si>
    <t>Wiring / Infra</t>
  </si>
  <si>
    <t>RESOLVES F1. 4 ch = 2 encoders x A/B. Encoder Vcc 5V -&gt; BSS138 -&gt; 3.3V Pi.</t>
  </si>
  <si>
    <t>ADS1115 16-bit 4-ch ADC (PGA)</t>
  </si>
  <si>
    <t>Adafruit 1085</t>
  </si>
  <si>
    <t>Core (1)</t>
  </si>
  <si>
    <t>Adds analog input to Pi (Pi has none). Enables F3: read pack V via divider for runtime low-voltage cutoff. Addr 0x48-0x4B strappable (2 coexist).</t>
  </si>
  <si>
    <t>BME688 temp/humidity/pressure/gas sensor</t>
  </si>
  <si>
    <t>Adafruit 5046</t>
  </si>
  <si>
    <t>Environmental: gas/VOC + T/H/P. Complements PMSA003I (particulate). I2C STEMMA QT. Scope -&gt; F8.</t>
  </si>
  <si>
    <t>DRV5032 digital Hall-effect sensor</t>
  </si>
  <si>
    <t>Adafruit/ScoutMakes 6051</t>
  </si>
  <si>
    <t>Magnet-presence switch. Overlaps reed (375). Likely front-module presence/keying. Confirm intent (Q4).</t>
  </si>
  <si>
    <t>IR Break-Beam Sensor, 5mm LEDs</t>
  </si>
  <si>
    <t>Adafruit 2168</t>
  </si>
  <si>
    <t>pair</t>
  </si>
  <si>
    <t>Emitter+detector beam-break (digital). Possible edge/tripwire/object-pass sense. Uses 3-pin JST-PH cable (3893).</t>
  </si>
  <si>
    <t>DS3231 Precision RTC, STEMMA QT</t>
  </si>
  <si>
    <t>Adafruit 5188</t>
  </si>
  <si>
    <t>Core (1); 2nd spare</t>
  </si>
  <si>
    <t>Real clock for timestamping significance/decay. FIXED addr 0x68 -&gt; TWO CANNOT SHARE A BUS (collide). See F12.</t>
  </si>
  <si>
    <t>Qwiic / STEMMA QT 5-Port Hub</t>
  </si>
  <si>
    <t>Adafruit 5625</t>
  </si>
  <si>
    <t>Passive I2C fan-out (1-&gt;5). For UNIQUE-address devices. Use mux (not hub) for address-colliders (ToF, 2nd RTC).</t>
  </si>
  <si>
    <t>Perma-Proto half-sized breadboard PCB</t>
  </si>
  <si>
    <t>Adafruit 1609</t>
  </si>
  <si>
    <t>Wiring / Proto</t>
  </si>
  <si>
    <t>Solderable proto substrate for the internal electronics stack (level shifter, ADC, hub mounting).</t>
  </si>
  <si>
    <t>6mm 3MP Wide-Angle Lens, CS-mount</t>
  </si>
  <si>
    <t>Adafruit 4563</t>
  </si>
  <si>
    <t>Sensing / Camera</t>
  </si>
  <si>
    <t>Wide lens for the Global Shutter Camera (CS mount). This is the 'wide-angle' from records.</t>
  </si>
  <si>
    <t>Flex cable for Pi Camera, 24in / 610mm</t>
  </si>
  <si>
    <t>Adafruit 1731</t>
  </si>
  <si>
    <t>Confirms the 24in camera flex from records. Fragile. Routes Pi CSI -&gt; ridge camera.</t>
  </si>
  <si>
    <t>STEMMA QT JST-SH 4-pin cables, assorted</t>
  </si>
  <si>
    <t>Adafruit 5385/5384/4401/4210</t>
  </si>
  <si>
    <t>This order: 400mm x4, 300mm x4, 200mm x4, 100mm x8. I2C chaining stock.</t>
  </si>
  <si>
    <t>STEMMA JST-PH 2mm 3-pin to male header cable</t>
  </si>
  <si>
    <t>Adafruit 3893</t>
  </si>
  <si>
    <t>Later</t>
  </si>
  <si>
    <t>3-pin (not 4) - pairs with the IR break-beam sensors.</t>
  </si>
  <si>
    <t>PCB Coaster, gold Adafruit logo</t>
  </si>
  <si>
    <t>Adafruit 5719</t>
  </si>
  <si>
    <t>Swag / non-build</t>
  </si>
  <si>
    <t>N/A (swag)</t>
  </si>
  <si>
    <t>Free promo item. Not a build part - logged for completeness.</t>
  </si>
  <si>
    <t>-</t>
  </si>
  <si>
    <t>microSD card, 32GB (Pi OS)</t>
  </si>
  <si>
    <t>CanaKit (SanDisk)</t>
  </si>
  <si>
    <t>Compute / Storage</t>
  </si>
  <si>
    <t>card</t>
  </si>
  <si>
    <t>Holds the OS. Abrupt power-off risks ext4 corruption -&gt; graceful LVC shutdown and/or read-only rootfs (F14).</t>
  </si>
  <si>
    <t>CanaKit 2.5A microUSB power supply</t>
  </si>
  <si>
    <t>Support (bench only)</t>
  </si>
  <si>
    <t>BENCH ONLY - powers Pi at desk. Rover Pi runs off D24V22F5 buck. Not a rover part.</t>
  </si>
  <si>
    <t>CanaKit black case (Pi 3)</t>
  </si>
  <si>
    <t>Compute / Support</t>
  </si>
  <si>
    <t>case</t>
  </si>
  <si>
    <t>Support (not in rover)</t>
  </si>
  <si>
    <t>Pi uses the printed QD chassis instead. Case = bench/spare. (Kit heatsinks DO carry to rover - see F15.)</t>
  </si>
  <si>
    <t>Rii mini X1 wireless keyboard/touchpad</t>
  </si>
  <si>
    <t>Rii</t>
  </si>
  <si>
    <t>Support</t>
  </si>
  <si>
    <t>Support (bench tool)</t>
  </si>
  <si>
    <t>Bench input for Pi setup. Not a CanaKit item; not a rover part.</t>
  </si>
  <si>
    <t>Owned (bench)</t>
  </si>
  <si>
    <t>37-in-1 Sensor Kit</t>
  </si>
  <si>
    <t>RobotLinking 37-in-1</t>
  </si>
  <si>
    <t>Sensing / Proto</t>
  </si>
  <si>
    <t>Bench/proto (not rover BOM, except picks)</t>
  </si>
  <si>
    <t>Breadboard learning kit. MOSTLY REDUNDANT w/ owned gear (Hall-&gt;DRV5032; temp/RH-&gt;BME688; sound-&gt;SPH0645; reed-&gt;375; tilt/shock-&gt;BNO085). ROVER PICKS: IR reflectance (down=cliff/edge), shock/tilt (impact/tip) -&gt; reflex layer via KB2040 (F16). Buzzer = only audio OUTPUT in inventory. [Library stock for future builds.]</t>
  </si>
  <si>
    <t>RobotLinking</t>
  </si>
  <si>
    <t>HC-SR501 PIR motion sensor</t>
  </si>
  <si>
    <t>HC-SR501 (BISS0001)</t>
  </si>
  <si>
    <t>Core candidate (at-rest only)</t>
  </si>
  <si>
    <t>Pyroelectric presence of moving warm bodies = strongest 'otherness'/significance input. INVALID WHILE MOVING (self-motion-&gt;false triggers): use at-rest only, gate on zero-velocity (F17). Out=3.3V (Pi-safe, no shifter); VCC 5V; 30-60s warmup. Set delay pot min, jumper H. LWIR opaque to shell -&gt; domes must be exposed (F17).</t>
  </si>
  <si>
    <t>DHT11 / DHT22(AM2302) temp-humidity modules</t>
  </si>
  <si>
    <t>DHT11 x5 + DHT22/AM2302 x2</t>
  </si>
  <si>
    <t>Bench/proto (redundant)</t>
  </si>
  <si>
    <t>REDUNDANT w/ BME688 (better accuracy/speed + adds pressure/gas). Single-wire bit-bang = worst-case on a Pi (non-RT scheduler -&gt; CRC fails). If ever used: KB2040 only, never Pi. DHT11 count ~5 (confirm). [Library stock for future builds.]</t>
  </si>
  <si>
    <t>Dupont jumper wires, assorted (F-F / F-M / M-M)</t>
  </si>
  <si>
    <t>bundle</t>
  </si>
  <si>
    <t>Bench/proto consumable</t>
  </si>
  <si>
    <t>For breadboard bring-up (validate sensors loose before solder/JST). Not rover BOM. [Library stock for future builds.] [+2 Elegoo kits (F-F/F-M/M-M) = qty 3; now includes M-M. F-M = Pi/breakout pins to breadboard, workhorse for sensor-bus bring-up.]</t>
  </si>
  <si>
    <t>Solar panel, mini poly ~68x37mm</t>
  </si>
  <si>
    <t>RY9-38 (rating unmarked)</t>
  </si>
  <si>
    <t>In hand (photo); rating TENTATIVE</t>
  </si>
  <si>
    <t>Library (not v1)</t>
  </si>
  <si>
    <t>TOY BOX. Form factor confirmed (68x37mm). RATING NOT PRINTED -&gt; measure Voc/Isc in sun (typical ~5-6V/30-60mA for size, verify). Condition: intact, solar ages well. QD: NOT v1 power (3S needs 12.6V + charge mgmt; naive solar-&gt;LiPo is unsafe); light-sensor role redundant w/ photoresistors. Good for standalone solar project. Provenance/rating: ask Darrell. [Library stock.]</t>
  </si>
  <si>
    <t>Toy box (old stock)</t>
  </si>
  <si>
    <t>Front+back</t>
  </si>
  <si>
    <t>DIY Solar Power Box (self-built)</t>
  </si>
  <si>
    <t>Self-built; Stack-On case</t>
  </si>
  <si>
    <t>Power / Equipment</t>
  </si>
  <si>
    <t>Equipment (not QD)</t>
  </si>
  <si>
    <t>Self-built portable solar power station. Components: Renogy PWM charge controller; 2x ExpertPower SLA ~12V 9Ah (EXP1290-class, AGM); fused distribution block; watt-meter/power analyzer; 3 panel rockers; sunvisor panels. CONDITION: electronics fine; SLA PAIR is aging risk -&gt; sulfation if stored unmaintained; test rested V (&gt;12.6 healthy) + load before trust; likely REPLACE. Vent before charging SLA in sealed steel box. QD: NOT a part (12V lead-acid vs 3S LiPo; controller is PbA-profiled). Usable as 12V bench/field supply; components harvestable.</t>
  </si>
  <si>
    <t>Self-built (toy box)</t>
  </si>
  <si>
    <t>3 photos</t>
  </si>
  <si>
    <t>Relay module, 4-channel (opto-isolated)</t>
  </si>
  <si>
    <t>Songle SRD-05VDC-SL-C x4</t>
  </si>
  <si>
    <t>Power / Switching</t>
  </si>
  <si>
    <t>board (4 relays)</t>
  </si>
  <si>
    <t>Library (not QD)</t>
  </si>
  <si>
    <t>5V coils; 10A 250VAC / 10A 30VDC SPDT; opto-isolated ACTIVE-LOW inputs; JD-VCC jumper isolates coil from logic power. CONDITION: fine (no electrolytics; relays/optos age well). QD: NO - wrong for DC mobile robot (coil ~80mA standing each = drain vs F13; can't PWM; QD switching is PWM-&gt;MOSFET or solid-state via TB6612 STBY). GOOD FOR: mains/AC switching, home automation (10A 250VAC + isolation). [Library stock.]</t>
  </si>
  <si>
    <t>Front only (no back stamp)</t>
  </si>
  <si>
    <t>Thread doc shot</t>
  </si>
  <si>
    <t>Photoresistor, CdS (GL5528 likely)</t>
  </si>
  <si>
    <t>Gikfun EK1412 (GL55xx)</t>
  </si>
  <si>
    <t>pcs</t>
  </si>
  <si>
    <t>Candidate v1.5+ (light sense)</t>
  </si>
  <si>
    <t>~10-20k light / ~1M dark; analog via ADS1115. ON-THESIS as light-significance input (shadow/dusk/lights-on). NOTE: camera already gives luminance free; CdS slow/drifty; VEML7700/TSL2591 = precise route. Not v1 (F8 creep). CONDITION: fine. CdS=cadmium (RoHS; fine for hobby).</t>
  </si>
  <si>
    <t>ASIN X0016NAK9H</t>
  </si>
  <si>
    <t>QD candidate (v1.5+)</t>
  </si>
  <si>
    <t>White LED emitter, round</t>
  </si>
  <si>
    <t>Yootop (X001TL48LH)</t>
  </si>
  <si>
    <t>Output / Light</t>
  </si>
  <si>
    <t>Library (poss. 1-2 cam fill-light)</t>
  </si>
  <si>
    <t>White, Vf ~3-3.4V (blue die + yellow phosphor). NOT addressable (!= WS2812 debug band). Exact bead wattage/package TENTATIVE (look small/low-power). QD: maybe 1-2 as low-light camera illumination; rest library. CONDITION: fine.</t>
  </si>
  <si>
    <t>ASIN X001TL48LH</t>
  </si>
  <si>
    <t>Reed switch, glass axial (SPST-NO)</t>
  </si>
  <si>
    <t>Generic glass reed (E383)</t>
  </si>
  <si>
    <t>pcs (approx)</t>
  </si>
  <si>
    <t>In hand (CONFIRMED)</t>
  </si>
  <si>
    <t>Library / spare (dock-detect v1.5?)</t>
  </si>
  <si>
    <t>CONFIRMED reed switches (close-up: overlapping blades + contact gap in glass envelope). ~20 pcs. Passive SPST-NO, closes near magnet, ZERO standing power, reads on GPIO+pullup (no ADC/I2C). QD: NOT v1 (core=cam+ToF+IMU). Best potential job = zero-power charging-dock presence detect (v1.5+); for moving-chassis magnetics DRV5032 Hall wins (solid-state, vibration-immune). See Q4. CONDITION: fine but FRAGILE glass - bend leads away from seal; store in clamshell.</t>
  </si>
  <si>
    <t>ASIN X002IVGXWJ / E383</t>
  </si>
  <si>
    <t>Confirmed close-up shot</t>
  </si>
  <si>
    <t>High-power COB LED, white ~50W</t>
  </si>
  <si>
    <t>Generic COB (~40mm)</t>
  </si>
  <si>
    <t>Library (NOT QD)</t>
  </si>
  <si>
    <t>~40mm sq, ~100-die array, Vf ~30-34V, ~50W class (30-100W; no wattage stamp = TENTATIVE). Needs CC driver + real heatsink. QD: NO - 30V+ off 3S needs boost; flattens 2200mAh in minutes; cooks sealed body. GOOD FOR: floodlight/work light. CONDITION: fine.</t>
  </si>
  <si>
    <t>Front only</t>
  </si>
  <si>
    <t>Trimmer pot, assorted 100R-100k</t>
  </si>
  <si>
    <t>3362/3386-style (B taper)</t>
  </si>
  <si>
    <t>Passives / Bench</t>
  </si>
  <si>
    <t>Bench/library (not QD)</t>
  </si>
  <si>
    <t>Blue single-turn trimpots. Codes 101/102/103/104 = 100R/1k/10k/100k; B=linear. QD: NO native use (digital/I2C, nothing to trim). Bench/breadboard analog stock. CONDITION: fine (wipers look unused; contact cleaner if scratchy).</t>
  </si>
  <si>
    <t>Bench/library</t>
  </si>
  <si>
    <t>ESP32 dev board w/ OLED (WiFi Kit 32)</t>
  </si>
  <si>
    <t>Heltec HTIT-WB32</t>
  </si>
  <si>
    <t>Compute / Tools</t>
  </si>
  <si>
    <t>Bring-up tool (off-board telemetry)</t>
  </si>
  <si>
    <t>ESP32 dual-core (WiFi+BT); 0.96" SSD1306 OLED (I2C); CP2102 USB-UART; 8MB flash (W25Q64); onboard 1S LiPo charge + JST. QD: NOT compute (Pi+KB2040 cover brain+reflex; WiFi dup of Pi). Onboard OLED OFF-THESIS (screen reads as 'gadget'; LED band = creature-like affect, no literal readout). BEST USE: OFF-board wireless telemetry dashboard for bring-up (Pi -&gt; WiFi/ESP-NOW -&gt; OLED: live batt V / mode / significance, untethered). Ties Gate B / first power-on. CONDITION: fine.</t>
  </si>
  <si>
    <t>HTIT-WB32 (back silk)</t>
  </si>
  <si>
    <t>ESP32 dev board, bare (WROOM-32)</t>
  </si>
  <si>
    <t>ESP32 DevKit (generic)</t>
  </si>
  <si>
    <t>Library / opt. bring-up remote</t>
  </si>
  <si>
    <t>ESP32-WROOM-32; WiFi+BT+BLE; micro-USB; CP2102 UART; AMS1117 3V3. NO OLED / NO LiPo charger (cf Heltec). QD: NOT compute (Pi+KB2040 settled; WiFi dup of Pi). No screen = not a dashboard. OPTIONAL: ESP-NOW manual-drive/override remote for bring-up (pairs w/ Heltec readout = untethered cockpit). NOT a safety e-stop - reflex stays onboard KB2040. Else general dev/library. CONDITION: fine. [+3 ESP32 DevKit V1 (WROOM-32, back-silk confirmed) added same verdict = qty 5 total.]</t>
  </si>
  <si>
    <t>ESP32 silk (module)</t>
  </si>
  <si>
    <t>ESP8266 dev board (NodeMCU + D1 Mini)</t>
  </si>
  <si>
    <t>HiLetgo NodeMCU x4 + Wemos D1 Mini x1</t>
  </si>
  <si>
    <t>Library / dev spare</t>
  </si>
  <si>
    <t>ESP8266MOD (ESP-12E); WiFi-ONLY (no BT/BLE); CP2102 UART; micro-USB; Vin 5V rec / 10V max; single-core, fewer GPIO than ESP32. QD: NOT compute (Pi+KB2040 settled; weaker than ESP32s already ruled out; WiFi dup of Pi). Speaks ESP-NOW so *could* be bring-up node/remote, but ESP32 is better - deeper-bench spare. MCU CATEGORY CLOSED/over-stocked: 3x ESP32 + 4x ESP8266 = 7 WiFi MCUs, none on QD; any further WiFi MCU = same verdict. CONDITION: fine (straighten bent header pins). [+1 Wemos/LOLIN D1 Mini (ESP8266, compact FF w/ LOLIN shield ecosystem) = qty 5. Same verdict.]</t>
  </si>
  <si>
    <t>HiLetgo silk (back)</t>
  </si>
  <si>
    <t>Arduino Uno/Nano (ATmega328P)</t>
  </si>
  <si>
    <t>1 genuine Uno (Italy) + IEIK/Elegoo Uno + 3x Elegoo Nano V3 + 1 Elegoo Uno R3</t>
  </si>
  <si>
    <t>Library / bench / learning</t>
  </si>
  <si>
    <t>ATmega328P; 8-bit AVR; 16MHz; 5V logic; 32KB flash / 2KB RAM; 14 DIO / 6 AIN; USB-B. QD: NOT compute (Pi+KB2040 settled). 8-bit/5V = weaker + needs level-shift to 3.3V Pi, AND this is the Arduino/AVR toolchain the project deliberately moved OFF of -&gt; KB2040/CircuitPython was the right call. Good = 5V bench workhorse / learning. Genuine Italy unit = real ATmega16U2 USB + keepsake; IEIK/Elegoo = CH340 clones (equal workhorses). MCU now overstocked across ALL families (AVR + ESP8266 + ESP32); QD uses 2 boards total. CONDITION: fine; electrolytics only age-sensitive part, no bulge/leak. [+3x Elegoo Nano V3.0 (same ATmega328P, small format) = qty 6 total. Small footprint does NOT earn a chassis seat: still 8-bit/5V, needs level-shift to 3.3V Pi, KB2040 owns reflex on better toolchain.] [+1 more Elegoo Uno R3 = qty 7. Same verdict: AVR bucket, not QD.]</t>
  </si>
  <si>
    <t>Board silk (front)</t>
  </si>
  <si>
    <t>Raspberry Pi Pico (RP2040, non-W)</t>
  </si>
  <si>
    <t>Raspberry Pi Pico (c)2020</t>
  </si>
  <si>
    <t>QD bench tool - reflex dev twin</t>
  </si>
  <si>
    <t>RP2040 (SAME silicon as KB2040); NON-wireless (no Pico-W shield = correct, no radio on a reflex co-pro). Micro-USB, BOOTSEL, 26 GPIO broken out on 0.1in grid, 3x ADC. QD ROLE (real, not library): bench TWIN for reflex-layer dev - same chip + same CircuitPython toolchain as KB2040, but roomy/easy to probe. Develop+debug reflex here -&gt; deploy validated code to KB2040 (flight HW). Does NOT replace KB2040 in chassis (KB2040 won on size/USB-C/STEMMA-QT; Pico too big for pill). CONDITION: fine.</t>
  </si>
  <si>
    <t>Pico silk (front)</t>
  </si>
  <si>
    <t>QD bench tool</t>
  </si>
  <si>
    <t>USB-serial adapter (FTDI FT232RL)</t>
  </si>
  <si>
    <t>FT232RL breakout (HW-417)</t>
  </si>
  <si>
    <t>QD bench tool - Pi serial console</t>
  </si>
  <si>
    <t>FT232RL USB-to-UART bridge (NOT an MCU). 6-pin FTDI header DTR/RXD/TXD/VCC/CTS/GND; SELECTABLE 3.3V/5V jumper; mini-USB. QD ROLE (real, not library): serial CONSOLE into Pi for headless bring-up/debug (Pi UART GPIO14 TX / GPIO15 RX) = boot msgs, kernel logs, login prompt, ZERO network dependency. Best low-level debug for a headless robot. ** CRITICAL: jumper to 3.3V (Pi UART is 3.3V, NOT 5V-tolerant; 5V damages GPIO). ** Aside: some FT232RL boards = clone chips; fine on Linux/Pi, may no-show on Windows. CONDITION: fine.</t>
  </si>
  <si>
    <t>FT232RL + HW-417 silk</t>
  </si>
  <si>
    <t>TP4056 1S Li charger (protected)</t>
  </si>
  <si>
    <t>TP4056+DW01A+8205A (03962A)</t>
  </si>
  <si>
    <t>Library (power shelf) - NOT QD power</t>
  </si>
  <si>
    <t>1S (single-cell 3.7/4.2V) Li-ion/LiPo charger, PROTECTED (DW01A over-dis/over-cur + 8205A dual MOSFET). Micro-USB in; B+/B- cell, OUT+/OUT- protected load; ~1A default (Rprog-set); 4.2V CC/CV; red/blue LEDs. QD: NOT main power - pack is 3S (11.1V), needs iMAX B6 BALANCE charger (1S charger CAN'T do 3S; wrong class). Nearest hook=1S backup cell for F14 hold-up, BUT TP4056=charger not power-path/UPS, AND read-only rootfs is simpler F14 fix -&gt; hook doesn't land. Joins power-shelf library (solar panels, relay bd). CONDITION: fine (no electrolytics).</t>
  </si>
  <si>
    <t>03962A silk</t>
  </si>
  <si>
    <t>Arduino MKR WiFi 1010 + Nano 33 IoT</t>
  </si>
  <si>
    <t>Genuine Arduino (SAMD21 + u-blox NINA-W102)</t>
  </si>
  <si>
    <t>pcs (1 each)</t>
  </si>
  <si>
    <t>Bench/library - capable 3.3V spares</t>
  </si>
  <si>
    <t>SAMD21 Cortex-M0+ 32-bit @48MHz, 3.3V native; WiFi+BT (NINA-W102=ESP32 inside); crypto chip. MKR=LiPo JST+charger; Nano 33 IoT=onboard LSM6DS3 6-axis IMU. NOTE: run CircuitPython (same toolchain as KB2040) - NOT the AVR/C++ env that fought the build; do NOT lump w/ Unos. QD: NOT compute (Pi=vision brain, KB2040=reflex &amp; faster dual-core 133MHz; WiFi dups Pi). Mild angle: self-contained 3.3V wireless nodes (opt ESP-NOW remote/sensor node); Nano33 IMU neat but BNO085 better+committed. VALUE: genuine Italian (~$30-40 ea) = good spares, keep separate from clones. CONDITION: fine.</t>
  </si>
  <si>
    <t>Board silk (back)</t>
  </si>
  <si>
    <t>Bench/library (capable)</t>
  </si>
  <si>
    <t>GPS receiver (GT-U7) + patch antenna</t>
  </si>
  <si>
    <t>GoouuTech GT-U7 + SIM39EA ant</t>
  </si>
  <si>
    <t>set</t>
  </si>
  <si>
    <t>Library (NOT QD) - GPS poor fit</t>
  </si>
  <si>
    <t>NEO-6M-class GNSS rx; NMEA over UART (~9600 default); micro-USB for PC test; 5-pin hdr (VCC/RX/TX/GND/PPS); SIM39EA ceramic patch antenna via u.FL. QD: POOR FIT - (1) needs sky view, won't fix indoors where rover lives; (2) SCALE: GPS ~meters vs QD=180mm robot in a ~few-m room -&gt; can't localize within a room even outdoors. QD localization = camera+ToF+IMU+encoders. Precise-time redundant w/ DS3231 RTC (&amp; needs a fix). Caveat: outdoor QD variant would change this. GOOD FOR: outdoor tracker/datalogger/GPS clock. CONDITION: fine; u.FL delicate.</t>
  </si>
  <si>
    <t>GT-U7 silk / ASIN X002GN4LMD</t>
  </si>
  <si>
    <t>Adafruit Circuit Playground Express</t>
  </si>
  <si>
    <t>Adafruit CPX (ATSAMD21)</t>
  </si>
  <si>
    <t>QD bench tool - LED-band/behavior dev</t>
  </si>
  <si>
    <t>SAMD21 @48MHz, 3.3V, CircuitPython; Adafruit ecosystem (same as KB2040/sensors). Onboard: 10x NeoPixel (WS2812!), LIS3DH accel, light/temp/sound sensors, IR tx/rx, 2 btn, slide sw, speaker, touch. 'Developer Edition'=dev variant, same fn. QD: NOT compute/component (Pi+KB2040 settled; fixed round bd doesn't fit pill/arch). REAL ROLE: prototype the LED DEBUG-BAND at desk - 10 onboard NeoPixels = same WS2812 + same `neopixel` lib as QD band; develop/tune idle/attention/engaged/fault/reflex states+animations, then port. Also rough behavior sketchpad (onboard accel/mic/light to rehearse significance-&gt;affect loop). 3rd bench-kit tool (w/ Pico reflex-dev, FTDI Pi-console). CONDITION: fine.</t>
  </si>
  <si>
    <t>CPX silk (back)</t>
  </si>
  <si>
    <t>Env sensor BME280/BMP280</t>
  </si>
  <si>
    <t>GY-BME/BMP280 (GYBMEP, I2C)</t>
  </si>
  <si>
    <t>Library (NOT QD) - redundant</t>
  </si>
  <si>
    <t>I2C temp/pressure(/humidity). QD: REDUNDANT - committed BME688 is a STRICT SUPERSET (temp/press/humidity + gas/VOC). Adds nothing over a better part already owned (cf DHT11/22). CAVEAT: purple GYBMEP boards often actually BMP280 (NO humidity) despite 'BME' silk - verify by chip ID (0x60=BME280, 0x58=BMP280). CONDITION: fine.</t>
  </si>
  <si>
    <t>GYBMEP silk</t>
  </si>
  <si>
    <t>0.96in OLED display (SSD1306)</t>
  </si>
  <si>
    <t>SSD1306 0.96in I2C (0x78/0x7A)</t>
  </si>
  <si>
    <t>Library (NOT QD) - off-thesis screen</t>
  </si>
  <si>
    <t>I2C 128x64 OLED, addr 0x78/0x7A selectable. QD: OFF-THESIS onboard (same call as Heltec screen) - text screen reads as 'gadget/interface'; QD signals state via LED band as ambient affect, not a readout. Do NOT put on chassis. Off-board = fine display for bench readout/dashboard, but Heltec already covers that. CONDITION: fine (handle gold ribbon/flex gently).</t>
  </si>
  <si>
    <t>0.96 OLED silk</t>
  </si>
  <si>
    <t>16x2 character LCD (HD44780)</t>
  </si>
  <si>
    <t>QAPASS 1602A (bare parallel)</t>
  </si>
  <si>
    <t>16x2 char LCD, HD44780-compatible, blue backlight, BARE 16-pin PARALLEL (no I2C backpack). QD: OFF-THESIS onboard (same call as OLED/Heltec - char readout = max 'gadget'; QD speaks via LED band). LESS useful than OLED even on bench: wants 6+ GPIO (or add PCF8574 backpack), 5V, needs contrast trimpot on V0. I2C OLED is better bench display. CONNECTION: the blue trimmers logged earlier = the V0 contrast pot for this. CONDITION: fine.</t>
  </si>
  <si>
    <t>QAPASS 1602A silk</t>
  </si>
  <si>
    <t>Data logging shield (SD + DS1307 RTC)</t>
  </si>
  <si>
    <t>Deek-Robot Data Logging Shield V1.0 (HW-169)</t>
  </si>
  <si>
    <t>Library (NOT QD) - redundant + wrong FF</t>
  </si>
  <si>
    <t>Arduino UNO SHIELD: full-size SD slot (SPI, 74HC125 level-shift) + DS1307 RTC (I2C 0x68, CR1220 backup) + proto area. QD: NOT QD - (1) UNO shield FF; QD=Pi+KB2040, nothing to stack on; (2) RTC redundant+INFERIOR: committed DS3231 is TCXO +/-2ppm vs DS1307 bare-xtal (drifts min/month), same addr 0x68 collide (F12); (3) SD redundant: Pi has own boot/storage SD. ** F14 TRAP: this SD slot does NOT fix F14 (Pi's-own-SD corruption) - different card/bus, unrelated; fix is read-only rootfs / graceful shutdown. ** GOOD FOR: Arduino datalogger. CONDITION: fine (needs CR1220 if RTC used).</t>
  </si>
  <si>
    <t>Deek-Robot silk (back)</t>
  </si>
  <si>
    <t>Seeeduino XIAO (SAMD21)</t>
  </si>
  <si>
    <t>Seeed Studio XIAO SAMD21</t>
  </si>
  <si>
    <t>Bench/library - capable 3.3V spare</t>
  </si>
  <si>
    <t>SAMD21 Cortex-M0+ @48MHz, 3.3V, USB-C, CircuitPython; TINY (~20x17.5mm) castellated; genuine Seeed. Capable-spares class (w/ MKR/Nano 33); NOT AVR bucket. QD: NOT compute (Pi+KB2040 settled; KB2040=RP2040 dual-core 133MHz, faster + STEMMA QT). NOT a reflex-dev twin like Pico - DIFFERENT chip (SAMD21 vs KB2040's RP2040), code not drop-in -&gt; spare, not bench tool. Tiny size doesn't unlock QD role (no 3rd-MCU slot; can't displace faster KB2040). Deepens overstocked MCU shelf. CONDITION: fine.</t>
  </si>
  <si>
    <t>Seeeduino XIAO silk (back)</t>
  </si>
  <si>
    <t>Tiny RTC I2C module (DS1307 + EEPROM)</t>
  </si>
  <si>
    <t>DS1307 + AT24C32 (Tiny RTC)</t>
  </si>
  <si>
    <t>Library (NOT QD) - redundant/inferior RTC</t>
  </si>
  <si>
    <t>DS1307 RTC + 32.768kHz xtal + AT24C32 4KB I2C EEPROM (0x50) + LIR2032 coin holder. QD: NOT QD - same as logging-shield RTC: DS1307 redundant+INFERIOR to committed DS3231 (TCXO +/-2ppm vs bare-xtal drift min/month), same addr 0x68 collide (F12). EEPROM=minor library bonus. GOTCHA: board has LIR2032 *rechargeable* charge circuit - do NOT fit a plain CR2032 (will try to charge non-rechargeable cell); use LIR2032 or disable charge R. 3rd inferior-RTC sighting (logging shield, GPS-time, now 5x); timekeeping settled on DS3231. CONDITION: fine (holders empty).</t>
  </si>
  <si>
    <t>Tiny RTC silk</t>
  </si>
  <si>
    <t>nRF24L01+ 2.4GHz transceiver</t>
  </si>
  <si>
    <t>Nordic nRF24L01+ module</t>
  </si>
  <si>
    <t>Library (NOT QD) - radio redundant w/ Pi WiFi</t>
  </si>
  <si>
    <t>2.4GHz GFSK transceiver, SPI (CE/CSN/SCK/MOSI/MISO/IRQ), 3.3V VCC (NOT 5V; logic inputs 5V-tol), ~1-2Mbps, PCB antenna. QD: NOT QD - wireless link redundant w/ Pi built-in WiFi/BT (cf ESP radios). For optional bring-up remote, ESP-NOW on earmarked ESP32s is easier (built-in vs host-MCU+stack at BOTH ends). GOTCHA: classic TX brownout - add 10uF cap across VCC/GND (left module looks already reworked w/ cap). GOOD FOR: low-power custom RF link / wireless sensor node / RC. CONDITION: fine (left hand-soldered, cosmetic).</t>
  </si>
  <si>
    <t>nRF24L01 silk + 16MHz xtal</t>
  </si>
  <si>
    <t>ESP32-CAM + OV2640 camera</t>
  </si>
  <si>
    <t>AI-Thinker ESP32-CAM (ESP32-S + OV2640)</t>
  </si>
  <si>
    <t>sets</t>
  </si>
  <si>
    <t>Library (NOT QD) - inferior cam + redundant compute</t>
  </si>
  <si>
    <t>AI-Thinker ESP32-CAM: ESP32-S (WiFi+BT) + OV2640 2MP cam + microSD + LED flash + 4MB PSRAM; NO onboard USB (flash via ext USB-serial -&gt; the FTDI). 2 boards + 2 OV2640. QD: NOT QD - (1) NOT compute: Pi=vision brain; ESP32 can't run attention/significance vision; (2) NOT camera: QD uses GLOBAL-SHUTTER (#5702) deliberately - moving robot needs it (no rolling-shutter motion jello on the very motion she attends to); OV2640=rolling-shutter, lower-res, parallel DVP (incompatible w/ Pi CSI); (3) NOT a vision-dev twin (too weak, wrong sensor/toolchain - unlike CPX/NeoPixel). USE: self-contained cheap WiFi cam (webcam/wildlife). Mild QD-adjacent: EXTERNAL observation cam watching QD during bring-up (3rd-person debug), not part of robot. CONDITION: fine.</t>
  </si>
  <si>
    <t>ESP32-CAM silk + OV2640 flex</t>
  </si>
  <si>
    <t>microSD card module (SPI)</t>
  </si>
  <si>
    <t>HW-125 (74VHC125 buffer + 3.3V reg)</t>
  </si>
  <si>
    <t>Storage</t>
  </si>
  <si>
    <t>modules</t>
  </si>
  <si>
    <t>Library (NOT QD) - Pi has native SD; does NOT fix F14</t>
  </si>
  <si>
    <t>SPI microSD breakout: GND/VCC/MISO/MOSI/SCK/CS; onboard 3.3V reg + 74VHC125 buffer (5V-Arduino friendly). 5 units, look new. QD: NOT QD - (1) Pi boots/logs via its OWN native SD slot (row 44), far faster than SPI + already in design; SPI SD is for compute WITHOUT an SD slot. (2) KB2040 reflex co-pro doesn't journal to disk - logging lives on Pi. (3) TRAP: does NOT fix F14 (SD-corruption-on-abrupt-poweroff) - that's a filesystem fix (read-only rootfs / graceful shutdown), not a hw-shortage; a 2nd card = a 2nd thing to corrupt. Same trap as the data-logging shield. USE: classic standalone-MCU datalogger (pair w/ DS3231 + sensor + AVR/ESP, no PC). CONDITION: fine/new.</t>
  </si>
  <si>
    <t>HW-125 silk + 'MicroSD Card Adapter' back</t>
  </si>
  <si>
    <t>Micro servo 9g (SG90-class)</t>
  </si>
  <si>
    <t>Smraza S51 (analog, plastic gear, ~180deg positional)</t>
  </si>
  <si>
    <t>Actuation</t>
  </si>
  <si>
    <t>servos</t>
  </si>
  <si>
    <t>QD v1.5 CANDIDATE - camera ridge articulation (pan/tilt)</t>
  </si>
  <si>
    <t>SG90-class 9g analog micro servo, positional ~180deg, plastic gears, horns+screws incl. 10 units. QD: REAL HIT (not library). v1.5 articulation is locked = pan +-90-120 / tilt sky-biased, ridge moves as unit, SERVOS IN BODY via linkage/pushrod -&gt; 2 servos. Use 2 + 8 spare/proto. CAVEATS for FLIGHT build (truth over comfort): (1) cheap analog 9g jitter/hunt/buzz - works against QD's deliberate legible-motion premise; consider DIGITAL METAL-GEAR micro servo for flight (smooth/quiet/repeatable). (2) plastic gears back-drive/strip on shock-load (bump) -&gt; MG90S-class more robust. (3) servo current spikes (stall ~0.5-0.7A ea) + noise -&gt; own buck/rail w/ decoupling, NOT sensor rail (ties F13). (4) pan +-120 (240deg) exceeds ~180deg throw -&gt; gear via linkage ratio or settle +-90. These = ideal PROTOTYPING servos; flight servo TBD (see F18). Verify positional (not continuous) - horns/label indicate positional. CONDITION: new.</t>
  </si>
  <si>
    <t>Smraza S51 'Micro Servo 9g' label</t>
  </si>
  <si>
    <t>QD v1.5 - articulation (2 + spares)</t>
  </si>
  <si>
    <t>18650 battery holder (1S)</t>
  </si>
  <si>
    <t>Single-cell 18650, 3.7V, flying leads</t>
  </si>
  <si>
    <t>holders</t>
  </si>
  <si>
    <t>Library (NOT QD) - power locked on 3S LiPo</t>
  </si>
  <si>
    <t>Single-18650 holder, 3.7V (1S), spring contact + red/black leads. 10 units, new. QD: NOT QD - power is LOCKED on 3S LiPo (Zeee 2200mAh) + iMAX charger; these are 1S holders (wrong series config) and re-opening battery chemistry now = regression. USE: general power-shelf stock (battery banks, any 3.7V project; 3x in series would make ~11.1V but QD already has its pack). Joins the self-sorting power library (w/ solar gear). CONDITION: new.</t>
  </si>
  <si>
    <t>'3.7V 18650X1' molding + bag of ~10</t>
  </si>
  <si>
    <t>Free - library (power shelf)</t>
  </si>
  <si>
    <t>Magnetic reed switch set (housed)</t>
  </si>
  <si>
    <t>Door/window-alarm type, ASIN B07YVG637M</t>
  </si>
  <si>
    <t>Library (NOT QD) - Q4 resolved; bulky door-alarm type</t>
  </si>
  <si>
    <t>HOUSED reed switch + magnet block sets (screw-terminal door/window alarm style) - NOT the bare glass reeds logged earlier. 5 sets, new. QD: NOT QD - ties Q4 (RESOLVED): DRV5032 Hall = on-chassis magnetic sensor of record (solid-state, vibration-immune); reeds = library/spare for possible v1.5 zero-power dock-detect. These housed sets are EVEN LESS QD-suited than bare reeds: bulky, built to screw on a doorframe, won't embed in 72mm pill. If dock-detect ever built, bare glass reeds are the better candidate. USE: door/window sensing (as sold). CONDITION: new.</t>
  </si>
  <si>
    <t>'5Sets Magnetic Reed Switch' label B07YVG637M</t>
  </si>
  <si>
    <t>Heat-set threaded inserts (M2/M3/M4/M5)</t>
  </si>
  <si>
    <t>ruthex 270pc (brass) ASIN X003E0A4VK7</t>
  </si>
  <si>
    <t>Chassis / Fasteners</t>
  </si>
  <si>
    <t>kit (270pc)</t>
  </si>
  <si>
    <t>ruthex brass heat-set inserts: M2 70 / M3 100 / M4 50 / M5 50. THE method for threads in printed parts (melt insert into PETG/ASA -&gt; metal threads for screws). M3x100 = workhorse for QD modular shells. NOTE (F7): kit has M2/M3/M4/M5 but NOT M2.5 - Pi is M2.5, so this does NOT close the two-fastener-systems flag; Pi still uses Geekworm M2.5 kit (row 22). Matches 'ruthex inserts' from procurement - now logged. CONDITION: new.</t>
  </si>
  <si>
    <t>3DPrintersBay / Amazon</t>
  </si>
  <si>
    <t>ruthex 270pc label</t>
  </si>
  <si>
    <t>M3 socket-head screw kit (304 SS)</t>
  </si>
  <si>
    <t>VGBUY 600pc</t>
  </si>
  <si>
    <t>kit (600pc)</t>
  </si>
  <si>
    <t>M3 socket-head cap screws, 304 stainless: M3x6/8/12/20/25/30 + 150 M3 nuts + 300 lock/flat washers. M3 = QD chassis standard. SHORT lengths (6-12mm) join shell modules into heat-set inserts = the QD-relevant part. 20-30mm + nuts = overflow (heat-set insert IS the nut, nuts rarely needed). Matches 'M3 screws' from procurement - now logged. CONDITION: new.</t>
  </si>
  <si>
    <t>Amazon (VGBUY)</t>
  </si>
  <si>
    <t>VGBUY 600pc label</t>
  </si>
  <si>
    <t>M4 brass hardware (inserts or standoffs?)</t>
  </si>
  <si>
    <t>A010-180, 'Brass M4 180pcs' ASIN X0022W2SAF</t>
  </si>
  <si>
    <t>Library (NOT QD) - M4 off the M3 standard</t>
  </si>
  <si>
    <t>TENTATIVE ID: closed box labeled 'Brass M4 180pcs' - could be M4 brass heat-set INSERTS (short knurled barrels) or M4 STANDOFFS (longer hex pillars). Opening settles it. Either way LIBRARY: M4 is off QD's M3 chassis standard (+ M2.5 Pi); nothing in QD design calls for M4. General fastener stock. CONDITION: new.</t>
  </si>
  <si>
    <t>A010-180 label</t>
  </si>
  <si>
    <t>Needs clean shot (open box to ID)</t>
  </si>
  <si>
    <t>BJT transistor assortment, 675pc</t>
  </si>
  <si>
    <t>Hilitchi 675pc (15 values x45) ASIN X001DQ71SZ</t>
  </si>
  <si>
    <t>Discrete semis</t>
  </si>
  <si>
    <t>kit (675pc)</t>
  </si>
  <si>
    <t>Library - general small-signal stock</t>
  </si>
  <si>
    <t>Through-hole BJT assortment: ~15 values incl 2N2222/2N3904/2N3906/C1815/A1015/S8050/S8550/S9012-S9015 etc, 45 ea. QD: not a SPECIFIED part - switching lives in integrated parts (TB6612 motors, BSS138 level-shift). But ideal general bench stock for occasional small-signal switching. Library. CONDITION: new.</t>
  </si>
  <si>
    <t>Amazon (Hilitchi)</t>
  </si>
  <si>
    <t>Hilitchi 675pc transistor label</t>
  </si>
  <si>
    <t>Power MOSFET kit, 50pc (10 values)</t>
  </si>
  <si>
    <t>BOJACK (IRF/IRFP series, TO-220) ASIN X001...</t>
  </si>
  <si>
    <t>kit (50pc)</t>
  </si>
  <si>
    <t>Library - power switching; mostly non-logic-level</t>
  </si>
  <si>
    <t>10 values x5: IRF540N/640N/740/840/3205/9540N/Z44N/IRFP260/460 class TO-220 POWER MOSFETs. QD: not needed - motors handled by TB6612; most of these are NON-logic-level (want ~10V gate, won't switch cleanly from 3.3/5V w/o gate driver). General power-switching / DIY H-bridge stock. Library. CONDITION: new.</t>
  </si>
  <si>
    <t>Amazon (BOJACK)</t>
  </si>
  <si>
    <t>BOJACK 50pc MOSFET label</t>
  </si>
  <si>
    <t>Resistor kit (through-hole assortment)</t>
  </si>
  <si>
    <t>Elegoo</t>
  </si>
  <si>
    <t>Passives</t>
  </si>
  <si>
    <t>Library - USEFUL QD bench stock</t>
  </si>
  <si>
    <t>TH resistor assortment (multi-value). Library but genuinely used during QD bring-up: I2C pull-ups, LED current-limit (band proto), reflex-input pull-downs. CONDITION: fine.</t>
  </si>
  <si>
    <t>Amazon (Elegoo)</t>
  </si>
  <si>
    <t>Elegoo Resistor Kit box</t>
  </si>
  <si>
    <t>Free - library (bench)</t>
  </si>
  <si>
    <t>Ceramic capacitor kit, 600pc (15 val)</t>
  </si>
  <si>
    <t>BOJACK 10pF-100nF</t>
  </si>
  <si>
    <t>Library - USEFUL QD bench (decoupling)</t>
  </si>
  <si>
    <t>TH ceramic disc caps 10pF-100nF, 15 values x40. Library but = QD's DECOUPLING/BYPASS stock (the '100nF across supply pins' for servos/nRF brownout/sensor rails). CAVEAT: tops out 100nF - BULK decoupling (10uF+ near buck/servos) needs electrolytic/tantalum sourced separately. CONDITION: fine.</t>
  </si>
  <si>
    <t>BOJACK Ceramic Capacitor Kit box</t>
  </si>
  <si>
    <t>DIP IC assortment (analog/audio jellybean)</t>
  </si>
  <si>
    <t>LM358/324/339/393,NE555,ULN2003/2803,LM386,TDA,UC384x,PT2399,JRC4558 +DIP sockets</t>
  </si>
  <si>
    <t>Discrete/IC</t>
  </si>
  <si>
    <t>Library (NOT QD) - different domain</t>
  </si>
  <si>
    <t>TH DIP assortment: op-amps (LM358/324/339/393,NE5532,JRC4558), 555 timer, Darlington arrays (ULN2003/2803), audio amps (LM386,TDA2030/2822), SMPS PWM (UC3842/3843), opto (PC817), ICL7660, PT2399 echo; + DIP sockets 4-18P. QD: NOT QD - analog/audio domain; QD analog sensing = ADS1115 I2C ADC, motors = TB6612; no discrete op-amps/timers/Darlingtons in design. Good library to own. CONDITION: fine.</t>
  </si>
  <si>
    <t>IC assortment chart box</t>
  </si>
  <si>
    <t>Potentiometer kit, 60pc (B5K-B100K)</t>
  </si>
  <si>
    <t>SWPEET, panel pots w/ knobs/nuts/washers ASIN X002CTQP4N</t>
  </si>
  <si>
    <t>Passives / Controls</t>
  </si>
  <si>
    <t>Library (NOT QD) - off-thesis (no knobs)</t>
  </si>
  <si>
    <t>Linear panel pots B5K/10K/20K/50K/100K + knobs/nuts/washers. QD: NOT QD - QD is autonomous, has NO human knobs (expresses via LED band) - same reason as trimmer pots (row 59). Mild bench use: hand-tunable analog test input into an ADC. Distinct from row 59 (those=tiny trimmers; these=full panel pots). CONDITION: new.</t>
  </si>
  <si>
    <t>Amazon (SWPEET)</t>
  </si>
  <si>
    <t>SWPEET 60pc Potentiometer box</t>
  </si>
  <si>
    <t>5mm LED assortment (assorted colors)</t>
  </si>
  <si>
    <t>DiCUNO</t>
  </si>
  <si>
    <t>Indicators</t>
  </si>
  <si>
    <t>Library - bench indicators (NOT the band)</t>
  </si>
  <si>
    <t>5mm TH LEDs, assorted colors. QD: does NOT displace QD's debug band = WS2812 addressable RGB (data-driven). These=dumb single-color TH LEDs for breadboard status blinks during bring-up. Distinct from row 56 (white-only emitters). Library/bench. CONDITION: fine.</t>
  </si>
  <si>
    <t>Amazon (DiCUNO)</t>
  </si>
  <si>
    <t>DiCUNO 5mm LED box</t>
  </si>
  <si>
    <t>Electrolytic capacitor assortment (2 kits)</t>
  </si>
  <si>
    <t>RexQualis 696pc (0.1-2200uF) + CTR 500pc (0.1-1000uF)</t>
  </si>
  <si>
    <t>kits</t>
  </si>
  <si>
    <t>Library - USEFUL QD bench (BULK decoupling)</t>
  </si>
  <si>
    <t>Radial electrolytic assortments: RexQualis 24-val 696pc 0.1-2200uF + CTR 24-val 500pc 0.1-1000uF (10-50V). Library but = the BULK decoupling flagged last turn (ceramic kit topped at 100nF). These = the 10-1000uF cans across buck output / servo rail / motor-driver supply to absorb current spikes (ties F13, F18). Two kits overlap = deep redundant supply. CAVEAT: electrolytics AGE (dry out / lose C / leak) unlike ceramics - look fresh now; if any sit for years, verify/reform before trusting on a rail that matters. CONDITION: appears new.</t>
  </si>
  <si>
    <t>Amazon (RexQualis / CTR)</t>
  </si>
  <si>
    <t>RexQualis 696 + CTR 500 charts</t>
  </si>
  <si>
    <t>Inductor kit, 200pc (20 value, 1W axial)</t>
  </si>
  <si>
    <t>BOJACK</t>
  </si>
  <si>
    <t>kit (200pc)</t>
  </si>
  <si>
    <t>Library (NOT QD) - buck modules self-contained</t>
  </si>
  <si>
    <t>TH axial color-band inductors, 20 values, 1W (1uH-1mH range). QD: NOT QD - discrete inductors = for DIY SMPS / LC filters; QD power = ready-made buck modules (Pololu D24V22F5) with inductors onboard. Not building switching supplies from scratch. General library stock. CONDITION: fine.</t>
  </si>
  <si>
    <t>BOJACK 200pc Inductor Kit box</t>
  </si>
  <si>
    <t>Digital multimeter (basic)</t>
  </si>
  <si>
    <t>GE2524 w/ probes</t>
  </si>
  <si>
    <t>Bench tool</t>
  </si>
  <si>
    <t>meter</t>
  </si>
  <si>
    <t>QD BENCH TOOL - essential bring-up</t>
  </si>
  <si>
    <t>Basic pocket DMM: V/A/ohm/diode/continuity (no cap/freq). First meter in inventory. Essential QD bring-up: buck output V before connecting Pi, pack V, 3.3/5V rails, joint continuity, polarity checks. Adequate for QD's checks. CONDITION: working.</t>
  </si>
  <si>
    <t>Existing / bench</t>
  </si>
  <si>
    <t>GE2524 body</t>
  </si>
  <si>
    <t>Solderless breadboards (assorted)</t>
  </si>
  <si>
    <t>Full 830pt / half 400pt / mini / power-rail strips</t>
  </si>
  <si>
    <t>approx</t>
  </si>
  <si>
    <t>Bench library - SIGNAL/LOGIC only (not power)</t>
  </si>
  <si>
    <t>~8 assorted solderless breadboards (830pt full, 400pt half, mini, power-rail strips). Proto-phase stock - distinct from row 38 Perma-Proto (those=SOLDERED). Workflow: breadboard I2C sensor bus / KB2040 / LED-band logic here, then commit working circuit to soldered Perma-Proto. CAVEAT: signal/logic ONLY - keep MOTOR/SERVO POWER off breadboards (spring-contact resistance can't carry motor amps; power path = soldered/direct from the start). Qty approx. CONDITION: fine.</t>
  </si>
  <si>
    <t>8+ boards in photo</t>
  </si>
  <si>
    <t>Thread doc shot (approx count)</t>
  </si>
  <si>
    <t>DC bench power supply (adjustable, CV/CC)</t>
  </si>
  <si>
    <t>Tacklife MDC02</t>
  </si>
  <si>
    <t>PSU</t>
  </si>
  <si>
    <t>QD BENCH TOOL - safe bring-up (CC limit)</t>
  </si>
  <si>
    <t>Adjustable single-output DC supply, CV/CC, V+A readout, fine/coarse, banana out. HIGH VALUE for QD: (1) CC current-limit = SAFE first power-on (clamps current on a fault instead of frying Pi/sensors). (2) Develop entire stack OFF the LiPo - dial 11.1V to stand in for 3S pack, or 5V/3.3V sub-rails - keeps pack fire/over-discharge out of the dev loop (de-risks F3/F14/brownout). CAVEAT: verify max current on label (~5A class); 2x motor STALL ~5-6A could hit the limit -&gt; CC dips rail. Fine for logic/sensor/normal-run. CONDITION: working.</t>
  </si>
  <si>
    <t>Tacklife MDC02 front</t>
  </si>
  <si>
    <t>Oscilloscope, 2ch 100MHz 1GSa/s (DSO)</t>
  </si>
  <si>
    <t>Hantek DSO5102P (+probe, test leads)</t>
  </si>
  <si>
    <t>scope</t>
  </si>
  <si>
    <t>QD BENCH TOOL - signal-integrity debug</t>
  </si>
  <si>
    <t>2-ch 100MHz 1GSa/s digital storage scope. THE signal-integrity instrument - maps onto QD flags: I2C SDA/SCL rise-times + clock-stretch (F10) + addressing (F12); WS2812 LED-band 800kHz timing (F9); encoder quadrature levels + level-shift (F1); motor/servo PWM freq/duty (F18); supply rail noise + decoupling verification (F13). 100MHz/2ch well-matched to all QD signals; 2ch covers most debug (4ch rarely needed). Incl scope probe + red/blk test leads. CONDITION: working.</t>
  </si>
  <si>
    <t>Hantek DSO5102P front</t>
  </si>
  <si>
    <t>QD — Open Design Flags</t>
  </si>
  <si>
    <t>Surfaced during cataloguing. Not dropped between batches.</t>
  </si>
  <si>
    <t>Severity</t>
  </si>
  <si>
    <t>Flag</t>
  </si>
  <si>
    <t>Related Parts</t>
  </si>
  <si>
    <t>Recommended Action</t>
  </si>
  <si>
    <t>F1</t>
  </si>
  <si>
    <t>High</t>
  </si>
  <si>
    <t>Mitigated (part in hand)</t>
  </si>
  <si>
    <t>Encoder outputs swing to Vcc (3.5-20V); 3.3V below floor. Feeding 5V enc outputs to Pi GPIO can damage the pin.</t>
  </si>
  <si>
    <t>Pololu 4885; Pi 3</t>
  </si>
  <si>
    <t>DONE pending wiring: BSS138 4-ch level converter received. Enc Vcc 5V -&gt; BSS138 -&gt; 3.3V Pi.</t>
  </si>
  <si>
    <t>F2</t>
  </si>
  <si>
    <t>Medium</t>
  </si>
  <si>
    <t>Open (partly mitigated)</t>
  </si>
  <si>
    <t>Drive / Chassis</t>
  </si>
  <si>
    <t>Stance/tip-over: 80mm wheel &gt; 72mm body; caster+shim height vs axle for level deck; big pack mass CG. IMU now helps detect tip.</t>
  </si>
  <si>
    <t>3690, 2692, Zeee, 4754</t>
  </si>
  <si>
    <t>Set caster shim to wheel axle height; mount pack low/centered; use IMU tilt in reflex layer.</t>
  </si>
  <si>
    <t>F3</t>
  </si>
  <si>
    <t>Mitigated (addressable)</t>
  </si>
  <si>
    <t>Fuse stops a short, NOT LiPo over-discharge. No runtime low-voltage cutoff in inventory yet.</t>
  </si>
  <si>
    <t>Zeee; Pi</t>
  </si>
  <si>
    <t>ADS1115 ADC received - read pack V via divider for runtime low-voltage cutoff.</t>
  </si>
  <si>
    <t>F4</t>
  </si>
  <si>
    <t>Open</t>
  </si>
  <si>
    <t>Chassis / Control</t>
  </si>
  <si>
    <t>KCD1 rocker needs ~19x13mm panel cutout; not in locked shell. Visible black switch also tension w/ no-anthropomorphism spine.</t>
  </si>
  <si>
    <t>DaierTek KCD1</t>
  </si>
  <si>
    <t>Decide placement (underside/rear vs intentional cue) BEFORE top shell is printed.</t>
  </si>
  <si>
    <t>F5</t>
  </si>
  <si>
    <t>Low</t>
  </si>
  <si>
    <t>B6AC V2 needs a charge lead that mates to pack XT60; may not be in charger bundle.</t>
  </si>
  <si>
    <t>SKYRC B6AC; XT60H</t>
  </si>
  <si>
    <t>Confirm bundle; if absent, build XT60 charge lead from spare XT60H.</t>
  </si>
  <si>
    <t>F6</t>
  </si>
  <si>
    <t>Open (reframed)</t>
  </si>
  <si>
    <t>Sensing / Wiring</t>
  </si>
  <si>
    <t>Body-to-ridge bus: locked as 6-wire JST-XH. Mux-in-ridge could collapse it to 4-wire I2C. Connector: JST-XH (robust, flex) vs STEMMA QT JST-SH (tiny).</t>
  </si>
  <si>
    <t>elechawk XH kit, 4397, 5626</t>
  </si>
  <si>
    <t>Decide topology (mux in ridge?) then connector. Keep robust connector on the flex joint.</t>
  </si>
  <si>
    <t>F7</t>
  </si>
  <si>
    <t>Compute / Chassis</t>
  </si>
  <si>
    <t>Pi is M2.5; chassis is M3 (two fastener systems). Mount method + standoff height undecided — affects bottom plate, service hatch, camera-cable routing.</t>
  </si>
  <si>
    <t>Geekworm kit; Pi 3</t>
  </si>
  <si>
    <t>Choose M2.5 inserts vs nut-capture; pick standoff height as part of internal stack-up.</t>
  </si>
  <si>
    <t>F8</t>
  </si>
  <si>
    <t>Sensing / Scope</t>
  </si>
  <si>
    <t>Order adds IMU + air-quality + 2 mics + reed + mux — large expansion past locked camera+ToF+LED. Risk: front-loading all of it stalls v1.</t>
  </si>
  <si>
    <t>4632, 5626, 375, 4754, 3421</t>
  </si>
  <si>
    <t>Sensor count ~10 modalities. Pick minimal v1 (camera+ToF+IMU); rest = plug-in library post-v1 (all STEMMA QT).</t>
  </si>
  <si>
    <t>F9</t>
  </si>
  <si>
    <t>Sensing / Firmware</t>
  </si>
  <si>
    <t>I2S mic uses Pi PCM peripheral; WS2812-style LED band driven via PCM collides with it.</t>
  </si>
  <si>
    <t>3421; LED band</t>
  </si>
  <si>
    <t>Drive LED over SPI/PWM (not PCM). Cleanest: hand WS2812 to the KB2040 (PIO) - see F11.</t>
  </si>
  <si>
    <t>F10</t>
  </si>
  <si>
    <t>BNO085 has documented I2C clock-stretching trouble on Raspberry Pi.</t>
  </si>
  <si>
    <t>Adafruit 4754; Pi 3</t>
  </si>
  <si>
    <t>Run BNO085 in UART-RVC or SPI mode, or budget I2C bring-up time.</t>
  </si>
  <si>
    <t>T1</t>
  </si>
  <si>
    <t>Tool note</t>
  </si>
  <si>
    <t>Heat-shrink + XT60 solder work need a heat gun; unknown if one is owned.</t>
  </si>
  <si>
    <t>Ginsco kit</t>
  </si>
  <si>
    <t>Confirm a heat gun is on the shelf; add to acquire list if not.</t>
  </si>
  <si>
    <t>Q1</t>
  </si>
  <si>
    <t>Question</t>
  </si>
  <si>
    <t>Exact XT60H pair count not confirmed from photo.</t>
  </si>
  <si>
    <t>XT60H</t>
  </si>
  <si>
    <t>Count the bag; update Qty.</t>
  </si>
  <si>
    <t>Q2</t>
  </si>
  <si>
    <t>Geekworm standoff kit: 1 or 2 boxes?</t>
  </si>
  <si>
    <t>Confirm; update Qty (currently tentative 2).</t>
  </si>
  <si>
    <t>Q3</t>
  </si>
  <si>
    <t>Two BNO085s: body+ridge (independent ridge orientation) or 1 + spare?</t>
  </si>
  <si>
    <t>Confirm intent; sets whether 2nd IMU is a build item or backup.</t>
  </si>
  <si>
    <t>C1</t>
  </si>
  <si>
    <t>—</t>
  </si>
  <si>
    <t>Closed</t>
  </si>
  <si>
    <t>Inline fuse holder needed.</t>
  </si>
  <si>
    <t>Fuse holders</t>
  </si>
  <si>
    <t>Closed — 10 in hand.</t>
  </si>
  <si>
    <t>C2</t>
  </si>
  <si>
    <t>Balance charger needed.</t>
  </si>
  <si>
    <t>SKYRC B6AC</t>
  </si>
  <si>
    <t>Closed — B6AC V2 in hand.</t>
  </si>
  <si>
    <t>C3</t>
  </si>
  <si>
    <t>Mitigated</t>
  </si>
  <si>
    <t>Pack puffing if stored at full charge across weekends.</t>
  </si>
  <si>
    <t>Zeee; B6AC</t>
  </si>
  <si>
    <t>Mitigated — use charger STORAGE mode (3.8V/cell). Lives on as a habit.</t>
  </si>
  <si>
    <t>C4</t>
  </si>
  <si>
    <t>Connector match between pack and interconnect.</t>
  </si>
  <si>
    <t>Zeee; XT60H</t>
  </si>
  <si>
    <t>Closed — pack ships XT60, matches XT60H.</t>
  </si>
  <si>
    <t>F11</t>
  </si>
  <si>
    <t>KB2040 (RP2040) arrived (free). Could be the real-time co-processor for Layer-1 reflex + encoder counting + WS2812/I2S offload - or a spare.</t>
  </si>
  <si>
    <t>Adafruit 5302; Pi 3</t>
  </si>
  <si>
    <t>Decide compute topology: Pi + RP2040 co-pro, or Pi-only. If co-pro, it cleanly resolves F9 and reflex timing.</t>
  </si>
  <si>
    <t>F12</t>
  </si>
  <si>
    <t>I2C address management as device count grows. 2x DS3231 share FIXED 0x68 -&gt; collide on one bus.</t>
  </si>
  <si>
    <t>DS3231 x2; mux; hub</t>
  </si>
  <si>
    <t>Map every I2C device to bus/mux channel. Colliders (ToF, 2nd RTC) -&gt; separate mux channels; unique-addr -&gt; hub.</t>
  </si>
  <si>
    <t>Q4</t>
  </si>
  <si>
    <t>Resolved</t>
  </si>
  <si>
    <t>Magnetic sensing intent: 2x DRV5032 Hall + 4x Adafruit reed (375) + ~20 glass reed (E383) all overlap. No defined v1 magnetic job.</t>
  </si>
  <si>
    <t>6051; 375; E383 reeds</t>
  </si>
  <si>
    <t>RESOLVED: No magnetic sensor in v1 (core=cam+ToF+IMU per F8). DRV5032 Hall = sensor-of-record for on-chassis magnetics (module-ID, v1.5) - solid-state, vibration-immune. Reeds = library/spare; one good future job = ZERO-POWER dock-presence detect IF a charging dock is added (v1.5+). Reeds parked, not orphaned.</t>
  </si>
  <si>
    <t>F13</t>
  </si>
  <si>
    <t>5V rail budget: D24V22F5 is 2.5A. Pi 3 active ~0.7-1A; addressable LED band can add ~1A (WS2812 ~60mA/LED at white) + sensors.</t>
  </si>
  <si>
    <t>D24V22F5; Pi 3; LED band</t>
  </si>
  <si>
    <t>Budget the 5V rail; cap LED count/brightness or move LED band to its own supply if needed.</t>
  </si>
  <si>
    <t>F14</t>
  </si>
  <si>
    <t>Abrupt power-off (kill switch / pack cutoff) can corrupt the Pi's microSD (ext4 on yank).</t>
  </si>
  <si>
    <t>Pi 3; microSD; ADS1115</t>
  </si>
  <si>
    <t>Use F3's pack-V sense to trigger a GRACEFUL shutdown before cutoff; and/or run a read-only root filesystem.</t>
  </si>
  <si>
    <t>F15</t>
  </si>
  <si>
    <t>Pi 3 runs warm under vision load; sealed printed body may throttle it.</t>
  </si>
  <si>
    <t>Pi 3; chassis</t>
  </si>
  <si>
    <t>Fit kit heatsinks; provide airflow (service hatch as vent / vent slots) in body design.</t>
  </si>
  <si>
    <t>Q5</t>
  </si>
  <si>
    <t>Pi 3 model: B or B+? (affects WiFi band + thermals, minor).</t>
  </si>
  <si>
    <t>Pi 3</t>
  </si>
  <si>
    <t>Confirm from board silkscreen.</t>
  </si>
  <si>
    <t>F16</t>
  </si>
  <si>
    <t>Opportunity</t>
  </si>
  <si>
    <t>Sensing / Behavior</t>
  </si>
  <si>
    <t>Reflex layer (Layer-1, sub-100ms) wants dumb/fast/no-bus sensors - wrong job for I2C gear. 37-in-1 kit supplies them.</t>
  </si>
  <si>
    <t>37-in-1 kit; KB2040</t>
  </si>
  <si>
    <t>Use kit IR-reflectance (cliff/edge) + shock/tilt (impact/tip) read directly by KB2040 for a deterministic reflex loop, independent of Pi/I2C.</t>
  </si>
  <si>
    <t>F17</t>
  </si>
  <si>
    <t>Sensing / Chassis</t>
  </si>
  <si>
    <t>PIR invalid while moving (field change -&gt; constant false triggers). Also: LWIR (8-14um) won't pass printed PETG/ASA shell, so Fresnel domes must be exposed - protrusions vs no-anthropomorphism spine.</t>
  </si>
  <si>
    <t>HC-SR501 x5; encoders/IMU; shell</t>
  </si>
  <si>
    <t>Use PIR as at-rest presence-attention only: gate output on zero-velocity (encoders/IMU). Design dome openings into shell now. Reframe: stillness-gated 'other present' significance.</t>
  </si>
  <si>
    <t>Q6</t>
  </si>
  <si>
    <t>Five PIRs: perimeter array for omnidirectional at-rest coverage, or spares?</t>
  </si>
  <si>
    <t>HC-SR501 x5; KB2040</t>
  </si>
  <si>
    <t>If array: 5 GPIO (consider KB2040, or OR down to 'presence anywhere' if bearing not needed).</t>
  </si>
  <si>
    <t>F18</t>
  </si>
  <si>
    <t>Open (v1.5)</t>
  </si>
  <si>
    <t>Actuation / v1.5</t>
  </si>
  <si>
    <t>v1.5 camera-articulation servo selection. 10x SG90-class 9g analog (Smraza S51) in hand - ideal for prototyping the pan/tilt mechanism + geometry. Open questions for the FLIGHT build: analog 9g jitter/buzz conflicts with QD's deliberate legible-motion premise; plastic gears back-drive/strip on shock-load.</t>
  </si>
  <si>
    <t>Smraza S51 9g servo x10; camera ridge; F13 (5V rail)</t>
  </si>
  <si>
    <t>Prototype articulation on these. For flight, evaluate digital metal-gear micro servo (smooth/quiet/repeatable holds, gear robustness). Put 2x servos on a dedicated buck/rail w/ decoupling - add stall current to F13 budget. Decide PWM source (Pi sw-PWM jitters -&gt; consider PCA9685). Confirm pan throw: +-120 needs linkage ratio vs ~180deg servo. Keep servo PWM in BODY (ridge connector is sensor-only, per F6).</t>
  </si>
  <si>
    <t>WS2812B addressable RGB LED strip, 144 LED/m, 1m</t>
  </si>
  <si>
    <t>BTF-LIGHTING WS2812B (B01CDTEJR0)</t>
  </si>
  <si>
    <t>strip (1m, 144px)</t>
  </si>
  <si>
    <t>ORDERED — arr 19 Jun 2026</t>
  </si>
  <si>
    <t>Core (debug/affect band)</t>
  </si>
  <si>
    <t>Addressable RGB debug/affect band — QD's state expressed as light, not a screen. States: blue idle / amber attention / green engaged / red fault / white reflex-flash. DC5V off D24V22F5 buck (row 8) — no new rail. Driven by KB2040 via PIO (row 26) -&gt; sidesteps WS2812 800kHz vs I2S-mic PCM clash (F9) and keeps affect alive independent of Pi (F16). Flexible, cuttable every LED: trim to ridge width once ridge drawn; 1m/144px = fit + spares. 12mm black PCB hides behind gray ridge. Closes the long-open gap — band specified everywhere (rows 52/65/87) but procured nowhere. DATA NEEDS 3.3-&gt;5V SHIFT — see row 95.</t>
  </si>
  <si>
    <t>Amazon (BTF-LIGHTING)</t>
  </si>
  <si>
    <t>Amazon, ordered 18 Jun 2026 (B01CDTEJR0)</t>
  </si>
  <si>
    <t>Order-confirm screenshot</t>
  </si>
  <si>
    <t>Logic level shifter 3.3V-&gt;5V (1-ch, for WS2812 data) — TO ACQUIRE</t>
  </si>
  <si>
    <t>74AHCT125-class (TBD)</t>
  </si>
  <si>
    <t>NOT in hand — TO ACQUIRE</t>
  </si>
  <si>
    <t>Core (band data integrity)</t>
  </si>
  <si>
    <t>WS2812B logic-high ~0.7xVDD ≈ 3.5V at 5V supply; raw 3.3V from KB2040/Pi is marginal -&gt; flaky / first-pixel glitches. Fix: 74AHCT125 quad buffer (Adafruit's standard NeoPixel shifter, use 1 of 4 ch) OR sacrificial-first-pixel trick. NOTE: BSS138 (row 27) NOT available — all 4 ch committed to 2 encoders A/B (F1). Small/cheap; NOT blocking. New bench-stock need surfaced by the LED-band order (row 94).</t>
  </si>
  <si>
    <t>TBD (Adafruit / DigiKey / Amazon)</t>
  </si>
  <si>
    <t>not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</si>
</sst>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5"/>
      <color rgb="FF1F3A4D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8EEF4"/>
        <bgColor rgb="FFECECEC"/>
      </patternFill>
    </fill>
    <fill>
      <patternFill patternType="solid">
        <fgColor rgb="FFFCE4D6"/>
        <bgColor rgb="FFFCEEE6"/>
      </patternFill>
    </fill>
    <fill>
      <patternFill patternType="solid">
        <fgColor rgb="FFE7F1E8"/>
        <bgColor rgb="FFE8EEF4"/>
      </patternFill>
    </fill>
    <fill>
      <patternFill patternType="solid">
        <fgColor rgb="FFFCEEE6"/>
        <bgColor rgb="FFFBF3E0"/>
      </patternFill>
    </fill>
    <fill>
      <patternFill patternType="solid">
        <fgColor rgb="FFFBF3E0"/>
        <bgColor rgb="FFFCEEE6"/>
      </patternFill>
    </fill>
    <fill>
      <patternFill patternType="solid">
        <fgColor rgb="FFECECEC"/>
        <bgColor rgb="FFE8EEF4"/>
      </patternFill>
    </fill>
    <fill>
      <patternFill patternType="solid">
        <fgColor rgb="FFF0EAF4"/>
        <bgColor rgb="FFECECEC"/>
      </patternFill>
    </fill>
    <fill>
      <patternFill patternType="solid">
        <fgColor rgb="FFFFF2CC"/>
        <bgColor rgb="FFFBF3E0"/>
      </patternFill>
    </fill>
    <fill>
      <patternFill patternType="solid">
        <fgColor rgb="FFFFFFFF"/>
        <bgColor rgb="FFFBF3E0"/>
      </patternFill>
    </fill>
    <fill>
      <patternFill patternType="solid">
        <fgColor rgb="FFE2EFDA"/>
        <bgColor rgb="FFE7F1E8"/>
      </patternFill>
    </fill>
    <fill>
      <patternFill patternType="solid">
        <fgColor rgb="FFFFC7CE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2E2E2"/>
        <bgColor rgb="FFD9E1F2"/>
      </patternFill>
    </fill>
    <fill>
      <patternFill patternType="solid">
        <fgColor rgb="FFDDEBF7"/>
        <bgColor rgb="FFE8EEF4"/>
      </patternFill>
    </fill>
    <fill>
      <patternFill patternType="solid">
        <fgColor rgb="FFC6EFCE"/>
        <bgColor rgb="FFD9EAD3"/>
      </patternFill>
    </fill>
    <fill>
      <patternFill patternType="solid">
        <fgColor rgb="FFD9E1F2"/>
        <bgColor rgb="FFE2E2E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/>
    </xf>
    <xf numFmtId="0" fontId="3" fillId="11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3" fillId="12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13" borderId="1" xfId="0" applyFont="1" applyFill="1" applyBorder="1" applyAlignment="1">
      <alignment horizontal="center" vertical="top"/>
    </xf>
    <xf numFmtId="0" fontId="3" fillId="14" borderId="1" xfId="0" applyFont="1" applyFill="1" applyBorder="1" applyAlignment="1">
      <alignment vertical="top"/>
    </xf>
    <xf numFmtId="0" fontId="3" fillId="15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3" fillId="16" borderId="1" xfId="0" applyFont="1" applyFill="1" applyBorder="1" applyAlignment="1">
      <alignment horizontal="center" vertical="top"/>
    </xf>
    <xf numFmtId="0" fontId="3" fillId="17" borderId="1" xfId="0" applyFont="1" applyFill="1" applyBorder="1" applyAlignment="1">
      <alignment horizontal="center" vertical="top"/>
    </xf>
    <xf numFmtId="0" fontId="3" fillId="11" borderId="1" xfId="0" applyFont="1" applyFill="1" applyBorder="1" applyAlignment="1">
      <alignment horizontal="center" vertical="top"/>
    </xf>
    <xf numFmtId="0" fontId="3" fillId="18" borderId="1" xfId="0" applyFont="1" applyFill="1" applyBorder="1" applyAlignment="1">
      <alignment vertical="top"/>
    </xf>
    <xf numFmtId="0" fontId="3" fillId="17" borderId="1" xfId="0" applyFont="1" applyFill="1" applyBorder="1" applyAlignment="1">
      <alignment vertical="top" wrapText="1"/>
    </xf>
    <xf numFmtId="0" fontId="3" fillId="19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E8EEF4"/>
      <rgbColor rgb="FF993366"/>
      <rgbColor rgb="FFFFF2CC"/>
      <rgbColor rgb="FFDDEBF7"/>
      <rgbColor rgb="FF660066"/>
      <rgbColor rgb="FFF0EAF4"/>
      <rgbColor rgb="FF0066CC"/>
      <rgbColor rgb="FFD0D0D0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7F1E8"/>
      <rgbColor rgb="FFC6EFCE"/>
      <rgbColor rgb="FFFFEB9C"/>
      <rgbColor rgb="FFD9EAD3"/>
      <rgbColor rgb="FFFCE4D6"/>
      <rgbColor rgb="FFE2E2E2"/>
      <rgbColor rgb="FFFFC7CE"/>
      <rgbColor rgb="FF3366FF"/>
      <rgbColor rgb="FF33CCCC"/>
      <rgbColor rgb="FF99CC00"/>
      <rgbColor rgb="FFFCEEE6"/>
      <rgbColor rgb="FFFF9900"/>
      <rgbColor rgb="FFFF6600"/>
      <rgbColor rgb="FF555555"/>
      <rgbColor rgb="FFECECEC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05" customWidth="1"/>
  </cols>
  <sheetData>
    <row r="1" spans="1:2" ht="18" customHeight="1" x14ac:dyDescent="0.3">
      <c r="A1" s="1" t="s">
        <v>0</v>
      </c>
    </row>
    <row r="2" spans="1:2" ht="15" customHeight="1" x14ac:dyDescent="0.25">
      <c r="A2" s="2" t="s">
        <v>1</v>
      </c>
    </row>
    <row r="3" spans="1:2" ht="15" customHeight="1" x14ac:dyDescent="0.25">
      <c r="A3" s="3"/>
      <c r="B3" s="4"/>
    </row>
    <row r="4" spans="1:2" ht="15" customHeight="1" x14ac:dyDescent="0.25">
      <c r="A4" s="3" t="s">
        <v>2</v>
      </c>
      <c r="B4" s="4" t="s">
        <v>3</v>
      </c>
    </row>
    <row r="5" spans="1:2" ht="15" customHeight="1" x14ac:dyDescent="0.25">
      <c r="A5" s="3" t="s">
        <v>4</v>
      </c>
      <c r="B5" s="4" t="s">
        <v>5</v>
      </c>
    </row>
    <row r="6" spans="1:2" ht="15" customHeight="1" x14ac:dyDescent="0.25">
      <c r="A6" s="3" t="s">
        <v>6</v>
      </c>
      <c r="B6" s="4" t="s">
        <v>7</v>
      </c>
    </row>
    <row r="7" spans="1:2" ht="15" customHeight="1" x14ac:dyDescent="0.25">
      <c r="A7" s="3"/>
      <c r="B7" s="4"/>
    </row>
    <row r="8" spans="1:2" ht="15" customHeight="1" x14ac:dyDescent="0.25">
      <c r="A8" s="5" t="s">
        <v>8</v>
      </c>
      <c r="B8" s="4"/>
    </row>
    <row r="9" spans="1:2" ht="15" customHeight="1" x14ac:dyDescent="0.25">
      <c r="A9" s="3" t="s">
        <v>9</v>
      </c>
      <c r="B9" s="4" t="s">
        <v>10</v>
      </c>
    </row>
    <row r="10" spans="1:2" ht="15" customHeight="1" x14ac:dyDescent="0.25">
      <c r="A10" s="3" t="s">
        <v>11</v>
      </c>
      <c r="B10" s="4" t="s">
        <v>12</v>
      </c>
    </row>
    <row r="11" spans="1:2" ht="23.25" customHeight="1" x14ac:dyDescent="0.25">
      <c r="A11" s="3" t="s">
        <v>13</v>
      </c>
      <c r="B11" s="4" t="s">
        <v>14</v>
      </c>
    </row>
    <row r="12" spans="1:2" ht="15" customHeight="1" x14ac:dyDescent="0.25">
      <c r="A12" s="3"/>
      <c r="B12" s="4"/>
    </row>
    <row r="13" spans="1:2" ht="15" customHeight="1" x14ac:dyDescent="0.25">
      <c r="A13" s="5" t="s">
        <v>15</v>
      </c>
      <c r="B13" s="4"/>
    </row>
    <row r="14" spans="1:2" ht="23.25" customHeight="1" x14ac:dyDescent="0.25">
      <c r="A14" s="3" t="s">
        <v>16</v>
      </c>
      <c r="B14" s="4" t="s">
        <v>17</v>
      </c>
    </row>
    <row r="15" spans="1:2" ht="15" customHeight="1" x14ac:dyDescent="0.25">
      <c r="A15" s="3"/>
      <c r="B15" s="4"/>
    </row>
    <row r="16" spans="1:2" ht="15" customHeight="1" x14ac:dyDescent="0.25">
      <c r="A16" s="3" t="s">
        <v>18</v>
      </c>
      <c r="B16" s="4" t="s">
        <v>19</v>
      </c>
    </row>
    <row r="17" spans="1:2" ht="15" customHeight="1" x14ac:dyDescent="0.25">
      <c r="A17" s="3" t="s">
        <v>20</v>
      </c>
      <c r="B17" s="4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"/>
  <sheetViews>
    <sheetView tabSelected="1" zoomScaleNormal="100" workbookViewId="0">
      <pane ySplit="4" topLeftCell="A95" activePane="bottomLeft" state="frozen"/>
      <selection pane="bottomLeft" activeCell="B1" sqref="B1"/>
    </sheetView>
  </sheetViews>
  <sheetFormatPr defaultColWidth="8.7109375" defaultRowHeight="15" x14ac:dyDescent="0.25"/>
  <cols>
    <col min="1" max="1" width="4" customWidth="1"/>
    <col min="2" max="2" width="41.140625" customWidth="1"/>
    <col min="3" max="3" width="17" customWidth="1"/>
    <col min="4" max="4" width="15" customWidth="1"/>
    <col min="5" max="5" width="7" customWidth="1"/>
    <col min="6" max="6" width="14" customWidth="1"/>
    <col min="7" max="7" width="20" customWidth="1"/>
    <col min="8" max="8" width="21" customWidth="1"/>
    <col min="9" max="9" width="52" customWidth="1"/>
    <col min="10" max="10" width="13" customWidth="1"/>
    <col min="11" max="11" width="24" customWidth="1"/>
    <col min="12" max="12" width="17" customWidth="1"/>
    <col min="13" max="15" width="20" customWidth="1"/>
    <col min="16" max="16" width="8" customWidth="1"/>
  </cols>
  <sheetData>
    <row r="1" spans="1:16" ht="18" customHeight="1" x14ac:dyDescent="0.3">
      <c r="A1" s="1" t="s">
        <v>22</v>
      </c>
    </row>
    <row r="2" spans="1:16" ht="15" customHeight="1" x14ac:dyDescent="0.25">
      <c r="A2" s="2" t="s">
        <v>23</v>
      </c>
    </row>
    <row r="4" spans="1:16" ht="15" customHeight="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7"/>
      <c r="O4" s="8" t="s">
        <v>37</v>
      </c>
      <c r="P4" s="9"/>
    </row>
    <row r="5" spans="1:16" ht="23.25" customHeight="1" x14ac:dyDescent="0.25">
      <c r="A5" s="10">
        <v>1</v>
      </c>
      <c r="B5" s="11" t="s">
        <v>38</v>
      </c>
      <c r="C5" s="12" t="s">
        <v>38</v>
      </c>
      <c r="D5" s="13" t="s">
        <v>39</v>
      </c>
      <c r="E5" s="14">
        <v>1</v>
      </c>
      <c r="F5" s="14" t="s">
        <v>40</v>
      </c>
      <c r="G5" s="12" t="s">
        <v>41</v>
      </c>
      <c r="H5" s="14" t="s">
        <v>42</v>
      </c>
      <c r="I5" s="12" t="s">
        <v>43</v>
      </c>
      <c r="J5" s="14" t="s">
        <v>44</v>
      </c>
      <c r="K5" s="12" t="s">
        <v>45</v>
      </c>
      <c r="L5" s="14" t="s">
        <v>46</v>
      </c>
      <c r="M5" s="15" t="s">
        <v>47</v>
      </c>
      <c r="N5" s="3"/>
      <c r="O5" s="16" t="s">
        <v>48</v>
      </c>
      <c r="P5" s="17">
        <f>COUNTA($B$5:$B$199)</f>
        <v>95</v>
      </c>
    </row>
    <row r="6" spans="1:16" ht="23.25" customHeight="1" x14ac:dyDescent="0.25">
      <c r="A6" s="10">
        <v>2</v>
      </c>
      <c r="B6" s="11" t="s">
        <v>49</v>
      </c>
      <c r="C6" s="12" t="s">
        <v>50</v>
      </c>
      <c r="D6" s="18" t="s">
        <v>51</v>
      </c>
      <c r="E6" s="14">
        <v>1</v>
      </c>
      <c r="F6" s="14" t="s">
        <v>52</v>
      </c>
      <c r="G6" s="12" t="s">
        <v>53</v>
      </c>
      <c r="H6" s="14" t="s">
        <v>42</v>
      </c>
      <c r="I6" s="12" t="s">
        <v>54</v>
      </c>
      <c r="J6" s="14" t="s">
        <v>55</v>
      </c>
      <c r="K6" s="12" t="s">
        <v>56</v>
      </c>
      <c r="L6" s="14" t="s">
        <v>57</v>
      </c>
      <c r="M6" s="15" t="s">
        <v>47</v>
      </c>
      <c r="N6" s="3"/>
      <c r="O6" s="16" t="s">
        <v>47</v>
      </c>
      <c r="P6" s="17">
        <f>COUNTIF($M$5:$M$199,"Committed*")</f>
        <v>36</v>
      </c>
    </row>
    <row r="7" spans="1:16" ht="23.25" customHeight="1" x14ac:dyDescent="0.25">
      <c r="A7" s="10">
        <v>3</v>
      </c>
      <c r="B7" s="11" t="s">
        <v>58</v>
      </c>
      <c r="C7" s="12" t="s">
        <v>59</v>
      </c>
      <c r="D7" s="18" t="s">
        <v>51</v>
      </c>
      <c r="E7" s="14">
        <v>2</v>
      </c>
      <c r="F7" s="14" t="s">
        <v>52</v>
      </c>
      <c r="G7" s="12" t="s">
        <v>53</v>
      </c>
      <c r="H7" s="14" t="s">
        <v>42</v>
      </c>
      <c r="I7" s="12" t="s">
        <v>60</v>
      </c>
      <c r="J7" s="14" t="s">
        <v>55</v>
      </c>
      <c r="K7" s="12" t="s">
        <v>56</v>
      </c>
      <c r="L7" s="14" t="s">
        <v>57</v>
      </c>
      <c r="M7" s="15" t="s">
        <v>47</v>
      </c>
      <c r="N7" s="3"/>
      <c r="O7" s="16" t="s">
        <v>61</v>
      </c>
      <c r="P7" s="17">
        <f>COUNTIF($M$5:$M$199,"QD v1.5*")</f>
        <v>8</v>
      </c>
    </row>
    <row r="8" spans="1:16" ht="34.5" customHeight="1" x14ac:dyDescent="0.25">
      <c r="A8" s="10">
        <v>4</v>
      </c>
      <c r="B8" s="11" t="s">
        <v>62</v>
      </c>
      <c r="C8" s="12" t="s">
        <v>63</v>
      </c>
      <c r="D8" s="19" t="s">
        <v>64</v>
      </c>
      <c r="E8" s="14">
        <v>2</v>
      </c>
      <c r="F8" s="14" t="s">
        <v>52</v>
      </c>
      <c r="G8" s="12" t="s">
        <v>41</v>
      </c>
      <c r="H8" s="14" t="s">
        <v>42</v>
      </c>
      <c r="I8" s="12" t="s">
        <v>65</v>
      </c>
      <c r="J8" s="14" t="s">
        <v>66</v>
      </c>
      <c r="K8" s="12" t="s">
        <v>67</v>
      </c>
      <c r="L8" s="14" t="s">
        <v>57</v>
      </c>
      <c r="M8" s="15" t="s">
        <v>47</v>
      </c>
      <c r="N8" s="3"/>
      <c r="O8" s="16" t="s">
        <v>68</v>
      </c>
      <c r="P8" s="17">
        <f>COUNTIF($M$5:$M$199,"Free*")</f>
        <v>30</v>
      </c>
    </row>
    <row r="9" spans="1:16" ht="23.25" customHeight="1" x14ac:dyDescent="0.25">
      <c r="A9" s="10">
        <v>5</v>
      </c>
      <c r="B9" s="11" t="s">
        <v>69</v>
      </c>
      <c r="C9" s="12" t="s">
        <v>70</v>
      </c>
      <c r="D9" s="19" t="s">
        <v>64</v>
      </c>
      <c r="E9" s="14">
        <v>2</v>
      </c>
      <c r="F9" s="14" t="s">
        <v>71</v>
      </c>
      <c r="G9" s="12" t="s">
        <v>41</v>
      </c>
      <c r="H9" s="14" t="s">
        <v>72</v>
      </c>
      <c r="I9" s="12" t="s">
        <v>73</v>
      </c>
      <c r="J9" s="14" t="s">
        <v>66</v>
      </c>
      <c r="K9" s="12" t="s">
        <v>74</v>
      </c>
      <c r="L9" s="14" t="s">
        <v>57</v>
      </c>
      <c r="M9" s="15" t="s">
        <v>47</v>
      </c>
      <c r="O9" s="3" t="s">
        <v>75</v>
      </c>
      <c r="P9" s="17">
        <f>COUNTIF($M$5:$M$199,"Bench*")</f>
        <v>12</v>
      </c>
    </row>
    <row r="10" spans="1:16" ht="34.5" customHeight="1" x14ac:dyDescent="0.25">
      <c r="A10" s="10">
        <v>6</v>
      </c>
      <c r="B10" s="11" t="s">
        <v>76</v>
      </c>
      <c r="C10" s="12" t="s">
        <v>77</v>
      </c>
      <c r="D10" s="19" t="s">
        <v>64</v>
      </c>
      <c r="E10" s="14">
        <v>1</v>
      </c>
      <c r="F10" s="14" t="s">
        <v>40</v>
      </c>
      <c r="G10" s="12" t="s">
        <v>41</v>
      </c>
      <c r="H10" s="14" t="s">
        <v>42</v>
      </c>
      <c r="I10" s="12" t="s">
        <v>78</v>
      </c>
      <c r="J10" s="14" t="s">
        <v>66</v>
      </c>
      <c r="K10" s="12" t="s">
        <v>74</v>
      </c>
      <c r="L10" s="14" t="s">
        <v>57</v>
      </c>
      <c r="M10" s="15" t="s">
        <v>47</v>
      </c>
    </row>
    <row r="11" spans="1:16" ht="23.25" customHeight="1" x14ac:dyDescent="0.25">
      <c r="A11" s="10">
        <v>7</v>
      </c>
      <c r="B11" s="11" t="s">
        <v>79</v>
      </c>
      <c r="C11" s="12" t="s">
        <v>80</v>
      </c>
      <c r="D11" s="19" t="s">
        <v>64</v>
      </c>
      <c r="E11" s="14">
        <v>1</v>
      </c>
      <c r="F11" s="14" t="s">
        <v>52</v>
      </c>
      <c r="G11" s="12" t="s">
        <v>41</v>
      </c>
      <c r="H11" s="14" t="s">
        <v>42</v>
      </c>
      <c r="I11" s="12" t="s">
        <v>81</v>
      </c>
      <c r="J11" s="14" t="s">
        <v>66</v>
      </c>
      <c r="K11" s="12" t="s">
        <v>74</v>
      </c>
      <c r="L11" s="14" t="s">
        <v>57</v>
      </c>
      <c r="M11" s="15" t="s">
        <v>47</v>
      </c>
    </row>
    <row r="12" spans="1:16" ht="23.25" customHeight="1" x14ac:dyDescent="0.25">
      <c r="A12" s="10">
        <v>8</v>
      </c>
      <c r="B12" s="11" t="s">
        <v>82</v>
      </c>
      <c r="C12" s="12" t="s">
        <v>83</v>
      </c>
      <c r="D12" s="20" t="s">
        <v>84</v>
      </c>
      <c r="E12" s="14">
        <v>1</v>
      </c>
      <c r="F12" s="14" t="s">
        <v>40</v>
      </c>
      <c r="G12" s="12" t="s">
        <v>41</v>
      </c>
      <c r="H12" s="14" t="s">
        <v>42</v>
      </c>
      <c r="I12" s="12" t="s">
        <v>85</v>
      </c>
      <c r="J12" s="14" t="s">
        <v>66</v>
      </c>
      <c r="K12" s="12" t="s">
        <v>74</v>
      </c>
      <c r="L12" s="14" t="s">
        <v>57</v>
      </c>
      <c r="M12" s="15" t="s">
        <v>47</v>
      </c>
    </row>
    <row r="13" spans="1:16" ht="23.25" customHeight="1" x14ac:dyDescent="0.25">
      <c r="A13" s="10">
        <v>9</v>
      </c>
      <c r="B13" s="11" t="s">
        <v>86</v>
      </c>
      <c r="C13" s="12" t="s">
        <v>87</v>
      </c>
      <c r="D13" s="20" t="s">
        <v>84</v>
      </c>
      <c r="E13" s="14">
        <v>1</v>
      </c>
      <c r="F13" s="14" t="s">
        <v>88</v>
      </c>
      <c r="G13" s="12" t="s">
        <v>41</v>
      </c>
      <c r="H13" s="14" t="s">
        <v>89</v>
      </c>
      <c r="I13" s="12" t="s">
        <v>90</v>
      </c>
      <c r="J13" s="14" t="s">
        <v>91</v>
      </c>
      <c r="K13" s="12" t="s">
        <v>92</v>
      </c>
      <c r="L13" s="14" t="s">
        <v>46</v>
      </c>
      <c r="M13" s="15" t="s">
        <v>47</v>
      </c>
    </row>
    <row r="14" spans="1:16" ht="23.25" customHeight="1" x14ac:dyDescent="0.25">
      <c r="A14" s="10">
        <v>10</v>
      </c>
      <c r="B14" s="11" t="s">
        <v>93</v>
      </c>
      <c r="C14" s="12" t="s">
        <v>94</v>
      </c>
      <c r="D14" s="20" t="s">
        <v>84</v>
      </c>
      <c r="E14" s="14">
        <v>10</v>
      </c>
      <c r="F14" s="14" t="s">
        <v>52</v>
      </c>
      <c r="G14" s="12" t="s">
        <v>41</v>
      </c>
      <c r="H14" s="14" t="s">
        <v>95</v>
      </c>
      <c r="I14" s="12" t="s">
        <v>96</v>
      </c>
      <c r="J14" s="14" t="s">
        <v>91</v>
      </c>
      <c r="K14" s="12" t="s">
        <v>92</v>
      </c>
      <c r="L14" s="14" t="s">
        <v>46</v>
      </c>
      <c r="M14" s="15" t="s">
        <v>47</v>
      </c>
    </row>
    <row r="15" spans="1:16" ht="23.25" customHeight="1" x14ac:dyDescent="0.25">
      <c r="A15" s="10">
        <v>11</v>
      </c>
      <c r="B15" s="11" t="s">
        <v>97</v>
      </c>
      <c r="C15" s="12" t="s">
        <v>98</v>
      </c>
      <c r="D15" s="20" t="s">
        <v>84</v>
      </c>
      <c r="E15" s="14">
        <v>10</v>
      </c>
      <c r="F15" s="14" t="s">
        <v>99</v>
      </c>
      <c r="G15" s="12" t="s">
        <v>41</v>
      </c>
      <c r="H15" s="14" t="s">
        <v>100</v>
      </c>
      <c r="I15" s="12" t="s">
        <v>101</v>
      </c>
      <c r="J15" s="14" t="s">
        <v>91</v>
      </c>
      <c r="K15" s="12" t="s">
        <v>102</v>
      </c>
      <c r="L15" s="14" t="s">
        <v>46</v>
      </c>
      <c r="M15" s="15" t="s">
        <v>47</v>
      </c>
    </row>
    <row r="16" spans="1:16" ht="34.5" customHeight="1" x14ac:dyDescent="0.25">
      <c r="A16" s="10">
        <v>12</v>
      </c>
      <c r="B16" s="11" t="s">
        <v>103</v>
      </c>
      <c r="C16" s="12" t="s">
        <v>104</v>
      </c>
      <c r="D16" s="20" t="s">
        <v>84</v>
      </c>
      <c r="E16" s="14">
        <v>2</v>
      </c>
      <c r="F16" s="14" t="s">
        <v>105</v>
      </c>
      <c r="G16" s="12" t="s">
        <v>41</v>
      </c>
      <c r="H16" s="14" t="s">
        <v>106</v>
      </c>
      <c r="I16" s="12" t="s">
        <v>107</v>
      </c>
      <c r="J16" s="14" t="s">
        <v>91</v>
      </c>
      <c r="K16" s="12" t="s">
        <v>108</v>
      </c>
      <c r="L16" s="14" t="s">
        <v>46</v>
      </c>
      <c r="M16" s="15" t="s">
        <v>47</v>
      </c>
    </row>
    <row r="17" spans="1:13" ht="34.5" customHeight="1" x14ac:dyDescent="0.25">
      <c r="A17" s="10">
        <v>13</v>
      </c>
      <c r="B17" s="11" t="s">
        <v>109</v>
      </c>
      <c r="C17" s="12" t="s">
        <v>110</v>
      </c>
      <c r="D17" s="20" t="s">
        <v>111</v>
      </c>
      <c r="E17" s="14">
        <v>1</v>
      </c>
      <c r="F17" s="14" t="s">
        <v>52</v>
      </c>
      <c r="G17" s="12" t="s">
        <v>41</v>
      </c>
      <c r="H17" s="14" t="s">
        <v>112</v>
      </c>
      <c r="I17" s="12" t="s">
        <v>113</v>
      </c>
      <c r="J17" s="14" t="s">
        <v>91</v>
      </c>
      <c r="K17" s="12" t="s">
        <v>92</v>
      </c>
      <c r="L17" s="14" t="s">
        <v>46</v>
      </c>
      <c r="M17" s="21" t="s">
        <v>75</v>
      </c>
    </row>
    <row r="18" spans="1:13" ht="34.5" customHeight="1" x14ac:dyDescent="0.25">
      <c r="A18" s="10">
        <v>14</v>
      </c>
      <c r="B18" s="11" t="s">
        <v>114</v>
      </c>
      <c r="C18" s="12" t="s">
        <v>115</v>
      </c>
      <c r="D18" s="20" t="s">
        <v>116</v>
      </c>
      <c r="E18" s="14">
        <v>10</v>
      </c>
      <c r="F18" s="14" t="s">
        <v>52</v>
      </c>
      <c r="G18" s="12" t="s">
        <v>41</v>
      </c>
      <c r="H18" s="14" t="s">
        <v>95</v>
      </c>
      <c r="I18" s="12" t="s">
        <v>117</v>
      </c>
      <c r="J18" s="14" t="s">
        <v>91</v>
      </c>
      <c r="K18" s="12" t="s">
        <v>118</v>
      </c>
      <c r="L18" s="14" t="s">
        <v>46</v>
      </c>
      <c r="M18" s="15" t="s">
        <v>47</v>
      </c>
    </row>
    <row r="19" spans="1:13" ht="23.25" customHeight="1" x14ac:dyDescent="0.25">
      <c r="A19" s="10">
        <v>15</v>
      </c>
      <c r="B19" s="11" t="s">
        <v>119</v>
      </c>
      <c r="C19" s="12" t="s">
        <v>120</v>
      </c>
      <c r="D19" s="22" t="s">
        <v>121</v>
      </c>
      <c r="E19" s="14">
        <v>150</v>
      </c>
      <c r="F19" s="14" t="s">
        <v>122</v>
      </c>
      <c r="G19" s="12" t="s">
        <v>41</v>
      </c>
      <c r="H19" s="14" t="s">
        <v>42</v>
      </c>
      <c r="I19" s="12" t="s">
        <v>123</v>
      </c>
      <c r="J19" s="14" t="s">
        <v>91</v>
      </c>
      <c r="K19" s="12" t="s">
        <v>124</v>
      </c>
      <c r="L19" s="14" t="s">
        <v>46</v>
      </c>
      <c r="M19" s="15" t="s">
        <v>47</v>
      </c>
    </row>
    <row r="20" spans="1:13" ht="34.5" customHeight="1" x14ac:dyDescent="0.25">
      <c r="A20" s="10">
        <v>16</v>
      </c>
      <c r="B20" s="11" t="s">
        <v>125</v>
      </c>
      <c r="C20" s="12" t="s">
        <v>126</v>
      </c>
      <c r="D20" s="22" t="s">
        <v>121</v>
      </c>
      <c r="E20" s="14">
        <v>1</v>
      </c>
      <c r="F20" s="14" t="s">
        <v>88</v>
      </c>
      <c r="G20" s="12" t="s">
        <v>41</v>
      </c>
      <c r="H20" s="14" t="s">
        <v>42</v>
      </c>
      <c r="I20" s="12" t="s">
        <v>127</v>
      </c>
      <c r="J20" s="14" t="s">
        <v>91</v>
      </c>
      <c r="K20" s="12" t="s">
        <v>92</v>
      </c>
      <c r="L20" s="14" t="s">
        <v>46</v>
      </c>
      <c r="M20" s="15" t="s">
        <v>47</v>
      </c>
    </row>
    <row r="21" spans="1:13" ht="23.25" customHeight="1" x14ac:dyDescent="0.25">
      <c r="A21" s="10">
        <v>17</v>
      </c>
      <c r="B21" s="11" t="s">
        <v>128</v>
      </c>
      <c r="C21" s="12" t="s">
        <v>129</v>
      </c>
      <c r="D21" s="22" t="s">
        <v>121</v>
      </c>
      <c r="E21" s="14">
        <v>1</v>
      </c>
      <c r="F21" s="14" t="s">
        <v>88</v>
      </c>
      <c r="G21" s="12" t="s">
        <v>41</v>
      </c>
      <c r="H21" s="14" t="s">
        <v>130</v>
      </c>
      <c r="I21" s="12" t="s">
        <v>131</v>
      </c>
      <c r="J21" s="14" t="s">
        <v>91</v>
      </c>
      <c r="K21" s="12" t="s">
        <v>132</v>
      </c>
      <c r="L21" s="14" t="s">
        <v>46</v>
      </c>
      <c r="M21" s="15" t="s">
        <v>47</v>
      </c>
    </row>
    <row r="22" spans="1:13" ht="34.5" customHeight="1" x14ac:dyDescent="0.25">
      <c r="A22" s="10">
        <v>18</v>
      </c>
      <c r="B22" s="11" t="s">
        <v>133</v>
      </c>
      <c r="C22" s="12" t="s">
        <v>134</v>
      </c>
      <c r="D22" s="13" t="s">
        <v>135</v>
      </c>
      <c r="E22" s="14">
        <v>2</v>
      </c>
      <c r="F22" s="14" t="s">
        <v>136</v>
      </c>
      <c r="G22" s="12" t="s">
        <v>41</v>
      </c>
      <c r="H22" s="14" t="s">
        <v>42</v>
      </c>
      <c r="I22" s="12" t="s">
        <v>137</v>
      </c>
      <c r="J22" s="14" t="s">
        <v>138</v>
      </c>
      <c r="K22" s="12" t="s">
        <v>139</v>
      </c>
      <c r="L22" s="14" t="s">
        <v>46</v>
      </c>
      <c r="M22" s="15" t="s">
        <v>47</v>
      </c>
    </row>
    <row r="23" spans="1:13" ht="23.25" customHeight="1" x14ac:dyDescent="0.25">
      <c r="A23" s="10">
        <v>19</v>
      </c>
      <c r="B23" s="11" t="s">
        <v>140</v>
      </c>
      <c r="C23" s="12" t="s">
        <v>141</v>
      </c>
      <c r="D23" s="22" t="s">
        <v>142</v>
      </c>
      <c r="E23" s="14">
        <v>4</v>
      </c>
      <c r="F23" s="14" t="s">
        <v>143</v>
      </c>
      <c r="G23" s="12" t="s">
        <v>144</v>
      </c>
      <c r="H23" s="14" t="s">
        <v>42</v>
      </c>
      <c r="I23" s="12" t="s">
        <v>145</v>
      </c>
      <c r="J23" s="14" t="s">
        <v>55</v>
      </c>
      <c r="K23" s="12" t="s">
        <v>146</v>
      </c>
      <c r="L23" s="14" t="s">
        <v>57</v>
      </c>
      <c r="M23" s="15" t="s">
        <v>47</v>
      </c>
    </row>
    <row r="24" spans="1:13" ht="23.25" customHeight="1" x14ac:dyDescent="0.25">
      <c r="A24" s="10">
        <v>20</v>
      </c>
      <c r="B24" s="11" t="s">
        <v>147</v>
      </c>
      <c r="C24" s="12" t="s">
        <v>148</v>
      </c>
      <c r="D24" s="22" t="s">
        <v>142</v>
      </c>
      <c r="E24" s="14">
        <v>4</v>
      </c>
      <c r="F24" s="14" t="s">
        <v>143</v>
      </c>
      <c r="G24" s="12" t="s">
        <v>144</v>
      </c>
      <c r="H24" s="14" t="s">
        <v>42</v>
      </c>
      <c r="I24" s="12" t="s">
        <v>149</v>
      </c>
      <c r="J24" s="14" t="s">
        <v>55</v>
      </c>
      <c r="K24" s="12" t="s">
        <v>150</v>
      </c>
      <c r="L24" s="14" t="s">
        <v>57</v>
      </c>
      <c r="M24" s="15" t="s">
        <v>47</v>
      </c>
    </row>
    <row r="25" spans="1:13" ht="23.25" customHeight="1" x14ac:dyDescent="0.25">
      <c r="A25" s="10">
        <v>21</v>
      </c>
      <c r="B25" s="11" t="s">
        <v>151</v>
      </c>
      <c r="C25" s="12" t="s">
        <v>152</v>
      </c>
      <c r="D25" s="18" t="s">
        <v>51</v>
      </c>
      <c r="E25" s="14">
        <v>1</v>
      </c>
      <c r="F25" s="14" t="s">
        <v>52</v>
      </c>
      <c r="G25" s="12" t="s">
        <v>144</v>
      </c>
      <c r="H25" s="14" t="s">
        <v>153</v>
      </c>
      <c r="I25" s="12" t="s">
        <v>154</v>
      </c>
      <c r="J25" s="14" t="s">
        <v>55</v>
      </c>
      <c r="K25" s="12" t="s">
        <v>150</v>
      </c>
      <c r="L25" s="14" t="s">
        <v>57</v>
      </c>
      <c r="M25" s="23" t="s">
        <v>61</v>
      </c>
    </row>
    <row r="26" spans="1:13" ht="23.25" customHeight="1" x14ac:dyDescent="0.25">
      <c r="A26" s="10">
        <v>22</v>
      </c>
      <c r="B26" s="11" t="s">
        <v>155</v>
      </c>
      <c r="C26" s="12" t="s">
        <v>156</v>
      </c>
      <c r="D26" s="18" t="s">
        <v>157</v>
      </c>
      <c r="E26" s="14">
        <v>2</v>
      </c>
      <c r="F26" s="14" t="s">
        <v>40</v>
      </c>
      <c r="G26" s="12" t="s">
        <v>144</v>
      </c>
      <c r="H26" s="14" t="s">
        <v>158</v>
      </c>
      <c r="I26" s="12" t="s">
        <v>159</v>
      </c>
      <c r="J26" s="14" t="s">
        <v>55</v>
      </c>
      <c r="K26" s="12" t="s">
        <v>150</v>
      </c>
      <c r="L26" s="14" t="s">
        <v>57</v>
      </c>
      <c r="M26" s="15" t="s">
        <v>47</v>
      </c>
    </row>
    <row r="27" spans="1:13" ht="34.5" customHeight="1" x14ac:dyDescent="0.25">
      <c r="A27" s="10">
        <v>23</v>
      </c>
      <c r="B27" s="11" t="s">
        <v>160</v>
      </c>
      <c r="C27" s="12" t="s">
        <v>161</v>
      </c>
      <c r="D27" s="18" t="s">
        <v>51</v>
      </c>
      <c r="E27" s="14">
        <v>4</v>
      </c>
      <c r="F27" s="14" t="s">
        <v>52</v>
      </c>
      <c r="G27" s="12" t="s">
        <v>144</v>
      </c>
      <c r="H27" s="14" t="s">
        <v>162</v>
      </c>
      <c r="I27" s="12" t="s">
        <v>163</v>
      </c>
      <c r="J27" s="14" t="s">
        <v>55</v>
      </c>
      <c r="K27" s="12" t="s">
        <v>150</v>
      </c>
      <c r="L27" s="14" t="s">
        <v>57</v>
      </c>
      <c r="M27" s="23" t="s">
        <v>61</v>
      </c>
    </row>
    <row r="28" spans="1:13" ht="34.5" customHeight="1" x14ac:dyDescent="0.25">
      <c r="A28" s="10">
        <v>24</v>
      </c>
      <c r="B28" s="11" t="s">
        <v>164</v>
      </c>
      <c r="C28" s="12" t="s">
        <v>165</v>
      </c>
      <c r="D28" s="18" t="s">
        <v>51</v>
      </c>
      <c r="E28" s="14">
        <v>2</v>
      </c>
      <c r="F28" s="14" t="s">
        <v>40</v>
      </c>
      <c r="G28" s="12" t="s">
        <v>144</v>
      </c>
      <c r="H28" s="14" t="s">
        <v>166</v>
      </c>
      <c r="I28" s="12" t="s">
        <v>167</v>
      </c>
      <c r="J28" s="14" t="s">
        <v>55</v>
      </c>
      <c r="K28" s="12" t="s">
        <v>150</v>
      </c>
      <c r="L28" s="14" t="s">
        <v>57</v>
      </c>
      <c r="M28" s="15" t="s">
        <v>47</v>
      </c>
    </row>
    <row r="29" spans="1:13" ht="34.5" customHeight="1" x14ac:dyDescent="0.25">
      <c r="A29" s="10">
        <v>25</v>
      </c>
      <c r="B29" s="11" t="s">
        <v>168</v>
      </c>
      <c r="C29" s="12" t="s">
        <v>169</v>
      </c>
      <c r="D29" s="18" t="s">
        <v>51</v>
      </c>
      <c r="E29" s="14">
        <v>2</v>
      </c>
      <c r="F29" s="14" t="s">
        <v>40</v>
      </c>
      <c r="G29" s="12" t="s">
        <v>144</v>
      </c>
      <c r="H29" s="14" t="s">
        <v>153</v>
      </c>
      <c r="I29" s="12" t="s">
        <v>170</v>
      </c>
      <c r="J29" s="14" t="s">
        <v>55</v>
      </c>
      <c r="K29" s="12" t="s">
        <v>150</v>
      </c>
      <c r="L29" s="14" t="s">
        <v>57</v>
      </c>
      <c r="M29" s="23" t="s">
        <v>61</v>
      </c>
    </row>
    <row r="30" spans="1:13" ht="34.5" customHeight="1" x14ac:dyDescent="0.25">
      <c r="A30" s="10">
        <v>26</v>
      </c>
      <c r="B30" s="11" t="s">
        <v>171</v>
      </c>
      <c r="C30" s="12" t="s">
        <v>172</v>
      </c>
      <c r="D30" s="13" t="s">
        <v>39</v>
      </c>
      <c r="E30" s="14">
        <v>1</v>
      </c>
      <c r="F30" s="14" t="s">
        <v>40</v>
      </c>
      <c r="G30" s="12" t="s">
        <v>53</v>
      </c>
      <c r="H30" s="14" t="s">
        <v>173</v>
      </c>
      <c r="I30" s="12" t="s">
        <v>174</v>
      </c>
      <c r="J30" s="14" t="s">
        <v>175</v>
      </c>
      <c r="K30" s="12" t="s">
        <v>56</v>
      </c>
      <c r="L30" s="14" t="s">
        <v>57</v>
      </c>
      <c r="M30" s="15" t="s">
        <v>47</v>
      </c>
    </row>
    <row r="31" spans="1:13" ht="23.25" customHeight="1" x14ac:dyDescent="0.25">
      <c r="A31" s="10">
        <v>27</v>
      </c>
      <c r="B31" s="11" t="s">
        <v>176</v>
      </c>
      <c r="C31" s="12" t="s">
        <v>177</v>
      </c>
      <c r="D31" s="22" t="s">
        <v>178</v>
      </c>
      <c r="E31" s="14">
        <v>1</v>
      </c>
      <c r="F31" s="14" t="s">
        <v>40</v>
      </c>
      <c r="G31" s="12" t="s">
        <v>53</v>
      </c>
      <c r="H31" s="14" t="s">
        <v>42</v>
      </c>
      <c r="I31" s="12" t="s">
        <v>179</v>
      </c>
      <c r="J31" s="14" t="s">
        <v>175</v>
      </c>
      <c r="K31" s="12" t="s">
        <v>56</v>
      </c>
      <c r="L31" s="14" t="s">
        <v>57</v>
      </c>
      <c r="M31" s="15" t="s">
        <v>47</v>
      </c>
    </row>
    <row r="32" spans="1:13" ht="34.5" customHeight="1" x14ac:dyDescent="0.25">
      <c r="A32" s="10">
        <v>28</v>
      </c>
      <c r="B32" s="11" t="s">
        <v>180</v>
      </c>
      <c r="C32" s="12" t="s">
        <v>181</v>
      </c>
      <c r="D32" s="18" t="s">
        <v>157</v>
      </c>
      <c r="E32" s="14">
        <v>2</v>
      </c>
      <c r="F32" s="14" t="s">
        <v>40</v>
      </c>
      <c r="G32" s="12" t="s">
        <v>53</v>
      </c>
      <c r="H32" s="14" t="s">
        <v>182</v>
      </c>
      <c r="I32" s="12" t="s">
        <v>183</v>
      </c>
      <c r="J32" s="14" t="s">
        <v>175</v>
      </c>
      <c r="K32" s="12" t="s">
        <v>56</v>
      </c>
      <c r="L32" s="14" t="s">
        <v>57</v>
      </c>
      <c r="M32" s="15" t="s">
        <v>47</v>
      </c>
    </row>
    <row r="33" spans="1:13" ht="23.25" customHeight="1" x14ac:dyDescent="0.25">
      <c r="A33" s="10">
        <v>29</v>
      </c>
      <c r="B33" s="11" t="s">
        <v>184</v>
      </c>
      <c r="C33" s="12" t="s">
        <v>185</v>
      </c>
      <c r="D33" s="18" t="s">
        <v>51</v>
      </c>
      <c r="E33" s="14">
        <v>1</v>
      </c>
      <c r="F33" s="14" t="s">
        <v>40</v>
      </c>
      <c r="G33" s="12" t="s">
        <v>53</v>
      </c>
      <c r="H33" s="14" t="s">
        <v>153</v>
      </c>
      <c r="I33" s="12" t="s">
        <v>186</v>
      </c>
      <c r="J33" s="14" t="s">
        <v>175</v>
      </c>
      <c r="K33" s="12" t="s">
        <v>56</v>
      </c>
      <c r="L33" s="14" t="s">
        <v>57</v>
      </c>
      <c r="M33" s="23" t="s">
        <v>61</v>
      </c>
    </row>
    <row r="34" spans="1:13" ht="23.25" customHeight="1" x14ac:dyDescent="0.25">
      <c r="A34" s="10">
        <v>30</v>
      </c>
      <c r="B34" s="11" t="s">
        <v>187</v>
      </c>
      <c r="C34" s="12" t="s">
        <v>188</v>
      </c>
      <c r="D34" s="18" t="s">
        <v>51</v>
      </c>
      <c r="E34" s="14">
        <v>2</v>
      </c>
      <c r="F34" s="14" t="s">
        <v>40</v>
      </c>
      <c r="G34" s="12" t="s">
        <v>53</v>
      </c>
      <c r="H34" s="14" t="s">
        <v>162</v>
      </c>
      <c r="I34" s="12" t="s">
        <v>189</v>
      </c>
      <c r="J34" s="14" t="s">
        <v>175</v>
      </c>
      <c r="K34" s="12" t="s">
        <v>56</v>
      </c>
      <c r="L34" s="14" t="s">
        <v>57</v>
      </c>
      <c r="M34" s="23" t="s">
        <v>61</v>
      </c>
    </row>
    <row r="35" spans="1:13" ht="34.5" customHeight="1" x14ac:dyDescent="0.25">
      <c r="A35" s="10">
        <v>31</v>
      </c>
      <c r="B35" s="11" t="s">
        <v>190</v>
      </c>
      <c r="C35" s="12" t="s">
        <v>191</v>
      </c>
      <c r="D35" s="18" t="s">
        <v>51</v>
      </c>
      <c r="E35" s="14">
        <v>2</v>
      </c>
      <c r="F35" s="14" t="s">
        <v>192</v>
      </c>
      <c r="G35" s="12" t="s">
        <v>53</v>
      </c>
      <c r="H35" s="14" t="s">
        <v>153</v>
      </c>
      <c r="I35" s="12" t="s">
        <v>193</v>
      </c>
      <c r="J35" s="14" t="s">
        <v>175</v>
      </c>
      <c r="K35" s="12" t="s">
        <v>56</v>
      </c>
      <c r="L35" s="14" t="s">
        <v>57</v>
      </c>
      <c r="M35" s="23" t="s">
        <v>61</v>
      </c>
    </row>
    <row r="36" spans="1:13" ht="23.25" customHeight="1" x14ac:dyDescent="0.25">
      <c r="A36" s="10">
        <v>32</v>
      </c>
      <c r="B36" s="11" t="s">
        <v>194</v>
      </c>
      <c r="C36" s="12" t="s">
        <v>195</v>
      </c>
      <c r="D36" s="18" t="s">
        <v>51</v>
      </c>
      <c r="E36" s="14">
        <v>2</v>
      </c>
      <c r="F36" s="14" t="s">
        <v>40</v>
      </c>
      <c r="G36" s="12" t="s">
        <v>53</v>
      </c>
      <c r="H36" s="14" t="s">
        <v>196</v>
      </c>
      <c r="I36" s="12" t="s">
        <v>197</v>
      </c>
      <c r="J36" s="14" t="s">
        <v>175</v>
      </c>
      <c r="K36" s="12" t="s">
        <v>56</v>
      </c>
      <c r="L36" s="14" t="s">
        <v>57</v>
      </c>
      <c r="M36" s="15" t="s">
        <v>47</v>
      </c>
    </row>
    <row r="37" spans="1:13" ht="23.25" customHeight="1" x14ac:dyDescent="0.25">
      <c r="A37" s="10">
        <v>33</v>
      </c>
      <c r="B37" s="11" t="s">
        <v>198</v>
      </c>
      <c r="C37" s="12" t="s">
        <v>199</v>
      </c>
      <c r="D37" s="18" t="s">
        <v>157</v>
      </c>
      <c r="E37" s="14">
        <v>1</v>
      </c>
      <c r="F37" s="14" t="s">
        <v>40</v>
      </c>
      <c r="G37" s="12" t="s">
        <v>53</v>
      </c>
      <c r="H37" s="14" t="s">
        <v>42</v>
      </c>
      <c r="I37" s="12" t="s">
        <v>200</v>
      </c>
      <c r="J37" s="14" t="s">
        <v>175</v>
      </c>
      <c r="K37" s="12" t="s">
        <v>56</v>
      </c>
      <c r="L37" s="14" t="s">
        <v>57</v>
      </c>
      <c r="M37" s="15" t="s">
        <v>47</v>
      </c>
    </row>
    <row r="38" spans="1:13" ht="23.25" customHeight="1" x14ac:dyDescent="0.25">
      <c r="A38" s="10">
        <v>34</v>
      </c>
      <c r="B38" s="11" t="s">
        <v>201</v>
      </c>
      <c r="C38" s="12" t="s">
        <v>202</v>
      </c>
      <c r="D38" s="22" t="s">
        <v>203</v>
      </c>
      <c r="E38" s="14">
        <v>6</v>
      </c>
      <c r="F38" s="14" t="s">
        <v>40</v>
      </c>
      <c r="G38" s="12" t="s">
        <v>53</v>
      </c>
      <c r="H38" s="14" t="s">
        <v>42</v>
      </c>
      <c r="I38" s="12" t="s">
        <v>204</v>
      </c>
      <c r="J38" s="14" t="s">
        <v>175</v>
      </c>
      <c r="K38" s="12" t="s">
        <v>56</v>
      </c>
      <c r="L38" s="14" t="s">
        <v>57</v>
      </c>
      <c r="M38" s="15" t="s">
        <v>47</v>
      </c>
    </row>
    <row r="39" spans="1:13" ht="23.25" customHeight="1" x14ac:dyDescent="0.25">
      <c r="A39" s="10">
        <v>35</v>
      </c>
      <c r="B39" s="11" t="s">
        <v>205</v>
      </c>
      <c r="C39" s="12" t="s">
        <v>206</v>
      </c>
      <c r="D39" s="18" t="s">
        <v>207</v>
      </c>
      <c r="E39" s="14">
        <v>1</v>
      </c>
      <c r="F39" s="14" t="s">
        <v>52</v>
      </c>
      <c r="G39" s="12" t="s">
        <v>53</v>
      </c>
      <c r="H39" s="14" t="s">
        <v>42</v>
      </c>
      <c r="I39" s="12" t="s">
        <v>208</v>
      </c>
      <c r="J39" s="14" t="s">
        <v>175</v>
      </c>
      <c r="K39" s="12" t="s">
        <v>56</v>
      </c>
      <c r="L39" s="14" t="s">
        <v>57</v>
      </c>
      <c r="M39" s="15" t="s">
        <v>47</v>
      </c>
    </row>
    <row r="40" spans="1:13" ht="23.25" customHeight="1" x14ac:dyDescent="0.25">
      <c r="A40" s="10">
        <v>36</v>
      </c>
      <c r="B40" s="11" t="s">
        <v>209</v>
      </c>
      <c r="C40" s="12" t="s">
        <v>210</v>
      </c>
      <c r="D40" s="18" t="s">
        <v>207</v>
      </c>
      <c r="E40" s="14">
        <v>1</v>
      </c>
      <c r="F40" s="14" t="s">
        <v>143</v>
      </c>
      <c r="G40" s="12" t="s">
        <v>53</v>
      </c>
      <c r="H40" s="14" t="s">
        <v>42</v>
      </c>
      <c r="I40" s="12" t="s">
        <v>211</v>
      </c>
      <c r="J40" s="14" t="s">
        <v>175</v>
      </c>
      <c r="K40" s="12" t="s">
        <v>56</v>
      </c>
      <c r="L40" s="14" t="s">
        <v>57</v>
      </c>
      <c r="M40" s="15" t="s">
        <v>47</v>
      </c>
    </row>
    <row r="41" spans="1:13" ht="34.5" customHeight="1" x14ac:dyDescent="0.25">
      <c r="A41" s="10">
        <v>37</v>
      </c>
      <c r="B41" s="11" t="s">
        <v>212</v>
      </c>
      <c r="C41" s="12" t="s">
        <v>213</v>
      </c>
      <c r="D41" s="22" t="s">
        <v>121</v>
      </c>
      <c r="E41" s="14">
        <v>20</v>
      </c>
      <c r="F41" s="14" t="s">
        <v>143</v>
      </c>
      <c r="G41" s="12" t="s">
        <v>53</v>
      </c>
      <c r="H41" s="14" t="s">
        <v>42</v>
      </c>
      <c r="I41" s="12" t="s">
        <v>214</v>
      </c>
      <c r="J41" s="14" t="s">
        <v>175</v>
      </c>
      <c r="K41" s="12" t="s">
        <v>56</v>
      </c>
      <c r="L41" s="14" t="s">
        <v>57</v>
      </c>
      <c r="M41" s="15" t="s">
        <v>47</v>
      </c>
    </row>
    <row r="42" spans="1:13" ht="23.25" customHeight="1" x14ac:dyDescent="0.25">
      <c r="A42" s="10">
        <v>38</v>
      </c>
      <c r="B42" s="11" t="s">
        <v>215</v>
      </c>
      <c r="C42" s="12" t="s">
        <v>216</v>
      </c>
      <c r="D42" s="22" t="s">
        <v>121</v>
      </c>
      <c r="E42" s="14">
        <v>2</v>
      </c>
      <c r="F42" s="14" t="s">
        <v>143</v>
      </c>
      <c r="G42" s="12" t="s">
        <v>53</v>
      </c>
      <c r="H42" s="14" t="s">
        <v>217</v>
      </c>
      <c r="I42" s="12" t="s">
        <v>218</v>
      </c>
      <c r="J42" s="14" t="s">
        <v>175</v>
      </c>
      <c r="K42" s="12" t="s">
        <v>56</v>
      </c>
      <c r="L42" s="14" t="s">
        <v>57</v>
      </c>
      <c r="M42" s="23" t="s">
        <v>61</v>
      </c>
    </row>
    <row r="43" spans="1:13" ht="23.25" customHeight="1" x14ac:dyDescent="0.25">
      <c r="A43" s="10">
        <v>39</v>
      </c>
      <c r="B43" s="11" t="s">
        <v>219</v>
      </c>
      <c r="C43" s="12" t="s">
        <v>220</v>
      </c>
      <c r="D43" s="24" t="s">
        <v>221</v>
      </c>
      <c r="E43" s="14">
        <v>1</v>
      </c>
      <c r="F43" s="14" t="s">
        <v>52</v>
      </c>
      <c r="G43" s="12" t="s">
        <v>53</v>
      </c>
      <c r="H43" s="14" t="s">
        <v>222</v>
      </c>
      <c r="I43" s="12" t="s">
        <v>223</v>
      </c>
      <c r="J43" s="14" t="s">
        <v>175</v>
      </c>
      <c r="K43" s="12" t="s">
        <v>56</v>
      </c>
      <c r="L43" s="14" t="s">
        <v>57</v>
      </c>
      <c r="M43" s="25" t="s">
        <v>224</v>
      </c>
    </row>
    <row r="44" spans="1:13" ht="23.25" customHeight="1" x14ac:dyDescent="0.25">
      <c r="A44" s="10">
        <v>40</v>
      </c>
      <c r="B44" s="11" t="s">
        <v>225</v>
      </c>
      <c r="C44" s="12" t="s">
        <v>226</v>
      </c>
      <c r="D44" s="13" t="s">
        <v>227</v>
      </c>
      <c r="E44" s="14">
        <v>1</v>
      </c>
      <c r="F44" s="14" t="s">
        <v>228</v>
      </c>
      <c r="G44" s="12" t="s">
        <v>41</v>
      </c>
      <c r="H44" s="14" t="s">
        <v>42</v>
      </c>
      <c r="I44" s="12" t="s">
        <v>229</v>
      </c>
      <c r="J44" s="14" t="s">
        <v>226</v>
      </c>
      <c r="K44" s="12" t="s">
        <v>45</v>
      </c>
      <c r="L44" s="14" t="s">
        <v>46</v>
      </c>
      <c r="M44" s="15" t="s">
        <v>47</v>
      </c>
    </row>
    <row r="45" spans="1:13" ht="23.25" customHeight="1" x14ac:dyDescent="0.25">
      <c r="A45" s="10">
        <v>41</v>
      </c>
      <c r="B45" s="11" t="s">
        <v>230</v>
      </c>
      <c r="C45" s="12" t="s">
        <v>44</v>
      </c>
      <c r="D45" s="20" t="s">
        <v>111</v>
      </c>
      <c r="E45" s="14">
        <v>1</v>
      </c>
      <c r="F45" s="14" t="s">
        <v>52</v>
      </c>
      <c r="G45" s="12" t="s">
        <v>41</v>
      </c>
      <c r="H45" s="14" t="s">
        <v>231</v>
      </c>
      <c r="I45" s="12" t="s">
        <v>232</v>
      </c>
      <c r="J45" s="14" t="s">
        <v>44</v>
      </c>
      <c r="K45" s="12" t="s">
        <v>45</v>
      </c>
      <c r="L45" s="14" t="s">
        <v>46</v>
      </c>
      <c r="M45" s="21" t="s">
        <v>75</v>
      </c>
    </row>
    <row r="46" spans="1:13" ht="23.25" customHeight="1" x14ac:dyDescent="0.25">
      <c r="A46" s="10">
        <v>42</v>
      </c>
      <c r="B46" s="11" t="s">
        <v>233</v>
      </c>
      <c r="C46" s="12" t="s">
        <v>44</v>
      </c>
      <c r="D46" s="13" t="s">
        <v>234</v>
      </c>
      <c r="E46" s="14">
        <v>1</v>
      </c>
      <c r="F46" s="14" t="s">
        <v>235</v>
      </c>
      <c r="G46" s="12" t="s">
        <v>41</v>
      </c>
      <c r="H46" s="14" t="s">
        <v>236</v>
      </c>
      <c r="I46" s="12" t="s">
        <v>237</v>
      </c>
      <c r="J46" s="14" t="s">
        <v>44</v>
      </c>
      <c r="K46" s="12" t="s">
        <v>45</v>
      </c>
      <c r="L46" s="14" t="s">
        <v>46</v>
      </c>
      <c r="M46" s="21" t="s">
        <v>75</v>
      </c>
    </row>
    <row r="47" spans="1:13" ht="23.25" customHeight="1" x14ac:dyDescent="0.25">
      <c r="A47" s="10">
        <v>43</v>
      </c>
      <c r="B47" s="11" t="s">
        <v>238</v>
      </c>
      <c r="C47" s="12" t="s">
        <v>239</v>
      </c>
      <c r="D47" s="26" t="s">
        <v>240</v>
      </c>
      <c r="E47" s="14">
        <v>1</v>
      </c>
      <c r="F47" s="14" t="s">
        <v>52</v>
      </c>
      <c r="G47" s="12" t="s">
        <v>41</v>
      </c>
      <c r="H47" s="14" t="s">
        <v>241</v>
      </c>
      <c r="I47" s="12" t="s">
        <v>242</v>
      </c>
      <c r="J47" s="14" t="s">
        <v>239</v>
      </c>
      <c r="K47" s="12" t="s">
        <v>243</v>
      </c>
      <c r="L47" s="14" t="s">
        <v>46</v>
      </c>
      <c r="M47" s="21" t="s">
        <v>75</v>
      </c>
    </row>
    <row r="48" spans="1:13" ht="57" customHeight="1" x14ac:dyDescent="0.25">
      <c r="A48" s="10">
        <v>44</v>
      </c>
      <c r="B48" s="11" t="s">
        <v>244</v>
      </c>
      <c r="C48" s="12" t="s">
        <v>245</v>
      </c>
      <c r="D48" s="18" t="s">
        <v>246</v>
      </c>
      <c r="E48" s="14">
        <v>1</v>
      </c>
      <c r="F48" s="14" t="s">
        <v>88</v>
      </c>
      <c r="G48" s="12" t="s">
        <v>41</v>
      </c>
      <c r="H48" s="14" t="s">
        <v>247</v>
      </c>
      <c r="I48" s="12" t="s">
        <v>248</v>
      </c>
      <c r="J48" s="14" t="s">
        <v>249</v>
      </c>
      <c r="K48" s="12" t="s">
        <v>92</v>
      </c>
      <c r="L48" s="14" t="s">
        <v>46</v>
      </c>
      <c r="M48" s="27" t="s">
        <v>68</v>
      </c>
    </row>
    <row r="49" spans="1:13" ht="68.25" customHeight="1" x14ac:dyDescent="0.25">
      <c r="A49" s="10">
        <v>45</v>
      </c>
      <c r="B49" s="11" t="s">
        <v>250</v>
      </c>
      <c r="C49" s="12" t="s">
        <v>251</v>
      </c>
      <c r="D49" s="18" t="s">
        <v>51</v>
      </c>
      <c r="E49" s="14">
        <v>5</v>
      </c>
      <c r="F49" s="14" t="s">
        <v>52</v>
      </c>
      <c r="G49" s="12" t="s">
        <v>41</v>
      </c>
      <c r="H49" s="14" t="s">
        <v>252</v>
      </c>
      <c r="I49" s="12" t="s">
        <v>253</v>
      </c>
      <c r="J49" s="14" t="s">
        <v>87</v>
      </c>
      <c r="K49" s="12" t="s">
        <v>92</v>
      </c>
      <c r="L49" s="14" t="s">
        <v>46</v>
      </c>
      <c r="M49" s="15" t="s">
        <v>47</v>
      </c>
    </row>
    <row r="50" spans="1:13" ht="45.75" customHeight="1" x14ac:dyDescent="0.25">
      <c r="A50" s="10">
        <v>46</v>
      </c>
      <c r="B50" s="11" t="s">
        <v>254</v>
      </c>
      <c r="C50" s="12" t="s">
        <v>255</v>
      </c>
      <c r="D50" s="18" t="s">
        <v>51</v>
      </c>
      <c r="E50" s="14">
        <v>7</v>
      </c>
      <c r="F50" s="14" t="s">
        <v>52</v>
      </c>
      <c r="G50" s="12" t="s">
        <v>41</v>
      </c>
      <c r="H50" s="14" t="s">
        <v>256</v>
      </c>
      <c r="I50" s="12" t="s">
        <v>257</v>
      </c>
      <c r="J50" s="14" t="s">
        <v>87</v>
      </c>
      <c r="K50" s="12" t="s">
        <v>92</v>
      </c>
      <c r="L50" s="14" t="s">
        <v>46</v>
      </c>
      <c r="M50" s="27" t="s">
        <v>68</v>
      </c>
    </row>
    <row r="51" spans="1:13" ht="23.25" customHeight="1" x14ac:dyDescent="0.25">
      <c r="A51" s="10">
        <v>47</v>
      </c>
      <c r="B51" s="11" t="s">
        <v>258</v>
      </c>
      <c r="C51" s="12" t="s">
        <v>87</v>
      </c>
      <c r="D51" s="22" t="s">
        <v>121</v>
      </c>
      <c r="E51" s="14">
        <v>3</v>
      </c>
      <c r="F51" s="14" t="s">
        <v>259</v>
      </c>
      <c r="G51" s="12" t="s">
        <v>41</v>
      </c>
      <c r="H51" s="14" t="s">
        <v>260</v>
      </c>
      <c r="I51" s="12" t="s">
        <v>261</v>
      </c>
      <c r="J51" s="14" t="s">
        <v>87</v>
      </c>
      <c r="K51" s="12" t="s">
        <v>92</v>
      </c>
      <c r="L51" s="14" t="s">
        <v>46</v>
      </c>
      <c r="M51" s="27" t="s">
        <v>68</v>
      </c>
    </row>
    <row r="52" spans="1:13" ht="79.5" customHeight="1" x14ac:dyDescent="0.25">
      <c r="A52" s="10">
        <v>48</v>
      </c>
      <c r="B52" s="11" t="s">
        <v>262</v>
      </c>
      <c r="C52" s="12" t="s">
        <v>263</v>
      </c>
      <c r="D52" s="20" t="s">
        <v>84</v>
      </c>
      <c r="E52" s="14">
        <v>10</v>
      </c>
      <c r="F52" s="14" t="s">
        <v>52</v>
      </c>
      <c r="G52" s="12" t="s">
        <v>264</v>
      </c>
      <c r="H52" s="14" t="s">
        <v>265</v>
      </c>
      <c r="I52" s="12" t="s">
        <v>266</v>
      </c>
      <c r="J52" s="14" t="s">
        <v>267</v>
      </c>
      <c r="K52" s="12" t="s">
        <v>92</v>
      </c>
      <c r="L52" s="14" t="s">
        <v>268</v>
      </c>
      <c r="M52" s="27" t="s">
        <v>68</v>
      </c>
    </row>
    <row r="53" spans="1:13" ht="113.25" customHeight="1" x14ac:dyDescent="0.25">
      <c r="A53" s="10">
        <v>49</v>
      </c>
      <c r="B53" s="11" t="s">
        <v>269</v>
      </c>
      <c r="C53" s="12" t="s">
        <v>270</v>
      </c>
      <c r="D53" s="20" t="s">
        <v>271</v>
      </c>
      <c r="E53" s="14">
        <v>1</v>
      </c>
      <c r="F53" s="14" t="s">
        <v>52</v>
      </c>
      <c r="G53" s="12" t="s">
        <v>41</v>
      </c>
      <c r="H53" s="14" t="s">
        <v>272</v>
      </c>
      <c r="I53" s="12" t="s">
        <v>273</v>
      </c>
      <c r="J53" s="14" t="s">
        <v>274</v>
      </c>
      <c r="K53" s="12" t="s">
        <v>275</v>
      </c>
      <c r="L53" s="14" t="s">
        <v>75</v>
      </c>
      <c r="M53" s="21"/>
    </row>
    <row r="54" spans="1:13" ht="90.75" customHeight="1" x14ac:dyDescent="0.25">
      <c r="A54" s="10">
        <v>50</v>
      </c>
      <c r="B54" s="11" t="s">
        <v>276</v>
      </c>
      <c r="C54" s="12" t="s">
        <v>277</v>
      </c>
      <c r="D54" s="20" t="s">
        <v>278</v>
      </c>
      <c r="E54" s="14">
        <v>1</v>
      </c>
      <c r="F54" s="14" t="s">
        <v>279</v>
      </c>
      <c r="G54" s="12" t="s">
        <v>41</v>
      </c>
      <c r="H54" s="14" t="s">
        <v>280</v>
      </c>
      <c r="I54" s="12" t="s">
        <v>281</v>
      </c>
      <c r="J54" s="14" t="s">
        <v>267</v>
      </c>
      <c r="K54" s="12" t="s">
        <v>282</v>
      </c>
      <c r="L54" s="12" t="s">
        <v>283</v>
      </c>
      <c r="M54" s="27" t="s">
        <v>68</v>
      </c>
    </row>
    <row r="55" spans="1:13" ht="57" customHeight="1" x14ac:dyDescent="0.25">
      <c r="A55" s="10">
        <v>51</v>
      </c>
      <c r="B55" s="11" t="s">
        <v>284</v>
      </c>
      <c r="C55" s="12" t="s">
        <v>285</v>
      </c>
      <c r="D55" s="20" t="s">
        <v>51</v>
      </c>
      <c r="E55" s="14">
        <v>20</v>
      </c>
      <c r="F55" s="14" t="s">
        <v>286</v>
      </c>
      <c r="G55" s="12" t="s">
        <v>41</v>
      </c>
      <c r="H55" s="14" t="s">
        <v>287</v>
      </c>
      <c r="I55" s="12" t="s">
        <v>288</v>
      </c>
      <c r="J55" s="14" t="s">
        <v>267</v>
      </c>
      <c r="K55" s="12" t="s">
        <v>289</v>
      </c>
      <c r="L55" s="12" t="s">
        <v>283</v>
      </c>
      <c r="M55" s="23" t="s">
        <v>290</v>
      </c>
    </row>
    <row r="56" spans="1:13" ht="57" customHeight="1" x14ac:dyDescent="0.25">
      <c r="A56" s="10">
        <v>52</v>
      </c>
      <c r="B56" s="11" t="s">
        <v>291</v>
      </c>
      <c r="C56" s="12" t="s">
        <v>292</v>
      </c>
      <c r="D56" s="20" t="s">
        <v>293</v>
      </c>
      <c r="E56" s="14">
        <v>100</v>
      </c>
      <c r="F56" s="14" t="s">
        <v>286</v>
      </c>
      <c r="G56" s="12" t="s">
        <v>41</v>
      </c>
      <c r="H56" s="14" t="s">
        <v>294</v>
      </c>
      <c r="I56" s="12" t="s">
        <v>295</v>
      </c>
      <c r="J56" s="14" t="s">
        <v>267</v>
      </c>
      <c r="K56" s="12" t="s">
        <v>296</v>
      </c>
      <c r="L56" s="12" t="s">
        <v>283</v>
      </c>
      <c r="M56" s="27" t="s">
        <v>68</v>
      </c>
    </row>
    <row r="57" spans="1:13" ht="68.25" customHeight="1" x14ac:dyDescent="0.25">
      <c r="A57" s="10">
        <v>53</v>
      </c>
      <c r="B57" s="11" t="s">
        <v>297</v>
      </c>
      <c r="C57" s="12" t="s">
        <v>298</v>
      </c>
      <c r="D57" s="28" t="s">
        <v>51</v>
      </c>
      <c r="E57" s="12">
        <v>20</v>
      </c>
      <c r="F57" s="12" t="s">
        <v>299</v>
      </c>
      <c r="G57" s="12" t="s">
        <v>300</v>
      </c>
      <c r="H57" s="12" t="s">
        <v>301</v>
      </c>
      <c r="I57" s="12" t="s">
        <v>302</v>
      </c>
      <c r="J57" s="12" t="s">
        <v>267</v>
      </c>
      <c r="K57" s="12" t="s">
        <v>303</v>
      </c>
      <c r="L57" s="12" t="s">
        <v>304</v>
      </c>
      <c r="M57" s="27" t="s">
        <v>68</v>
      </c>
    </row>
    <row r="58" spans="1:13" ht="57" customHeight="1" x14ac:dyDescent="0.25">
      <c r="A58" s="10">
        <v>54</v>
      </c>
      <c r="B58" s="11" t="s">
        <v>305</v>
      </c>
      <c r="C58" s="12" t="s">
        <v>306</v>
      </c>
      <c r="D58" s="20" t="s">
        <v>293</v>
      </c>
      <c r="E58" s="14">
        <v>1</v>
      </c>
      <c r="F58" s="14" t="s">
        <v>286</v>
      </c>
      <c r="G58" s="12" t="s">
        <v>41</v>
      </c>
      <c r="H58" s="14" t="s">
        <v>307</v>
      </c>
      <c r="I58" s="12" t="s">
        <v>308</v>
      </c>
      <c r="J58" s="14" t="s">
        <v>267</v>
      </c>
      <c r="K58" s="12" t="s">
        <v>309</v>
      </c>
      <c r="L58" s="12" t="s">
        <v>283</v>
      </c>
      <c r="M58" s="27" t="s">
        <v>68</v>
      </c>
    </row>
    <row r="59" spans="1:13" ht="45.75" customHeight="1" x14ac:dyDescent="0.25">
      <c r="A59" s="10">
        <v>55</v>
      </c>
      <c r="B59" s="11" t="s">
        <v>310</v>
      </c>
      <c r="C59" s="12" t="s">
        <v>311</v>
      </c>
      <c r="D59" s="20" t="s">
        <v>312</v>
      </c>
      <c r="E59" s="14">
        <v>8</v>
      </c>
      <c r="F59" s="14" t="s">
        <v>299</v>
      </c>
      <c r="G59" s="12" t="s">
        <v>41</v>
      </c>
      <c r="H59" s="14" t="s">
        <v>313</v>
      </c>
      <c r="I59" s="12" t="s">
        <v>314</v>
      </c>
      <c r="J59" s="14" t="s">
        <v>267</v>
      </c>
      <c r="K59" s="12" t="s">
        <v>309</v>
      </c>
      <c r="L59" s="12" t="s">
        <v>283</v>
      </c>
      <c r="M59" s="27" t="s">
        <v>315</v>
      </c>
    </row>
    <row r="60" spans="1:13" ht="102" customHeight="1" x14ac:dyDescent="0.25">
      <c r="A60" s="10">
        <v>56</v>
      </c>
      <c r="B60" s="11" t="s">
        <v>316</v>
      </c>
      <c r="C60" s="12" t="s">
        <v>317</v>
      </c>
      <c r="D60" s="20" t="s">
        <v>318</v>
      </c>
      <c r="E60" s="14">
        <v>1</v>
      </c>
      <c r="F60" s="14" t="s">
        <v>286</v>
      </c>
      <c r="G60" s="12" t="s">
        <v>41</v>
      </c>
      <c r="H60" s="14" t="s">
        <v>319</v>
      </c>
      <c r="I60" s="12" t="s">
        <v>320</v>
      </c>
      <c r="J60" s="14" t="s">
        <v>267</v>
      </c>
      <c r="K60" s="12" t="s">
        <v>321</v>
      </c>
      <c r="L60" s="12" t="s">
        <v>283</v>
      </c>
      <c r="M60" s="27" t="s">
        <v>315</v>
      </c>
    </row>
    <row r="61" spans="1:13" ht="79.5" customHeight="1" x14ac:dyDescent="0.25">
      <c r="A61" s="10">
        <v>57</v>
      </c>
      <c r="B61" s="11" t="s">
        <v>322</v>
      </c>
      <c r="C61" s="12" t="s">
        <v>323</v>
      </c>
      <c r="D61" s="20" t="s">
        <v>318</v>
      </c>
      <c r="E61" s="14">
        <v>5</v>
      </c>
      <c r="F61" s="14" t="s">
        <v>286</v>
      </c>
      <c r="G61" s="12" t="s">
        <v>41</v>
      </c>
      <c r="H61" s="14" t="s">
        <v>324</v>
      </c>
      <c r="I61" s="12" t="s">
        <v>325</v>
      </c>
      <c r="J61" s="14" t="s">
        <v>267</v>
      </c>
      <c r="K61" s="12" t="s">
        <v>326</v>
      </c>
      <c r="L61" s="12" t="s">
        <v>283</v>
      </c>
      <c r="M61" s="27" t="s">
        <v>315</v>
      </c>
    </row>
    <row r="62" spans="1:13" ht="102" customHeight="1" x14ac:dyDescent="0.25">
      <c r="A62" s="10">
        <v>58</v>
      </c>
      <c r="B62" s="11" t="s">
        <v>327</v>
      </c>
      <c r="C62" s="12" t="s">
        <v>328</v>
      </c>
      <c r="D62" s="20" t="s">
        <v>318</v>
      </c>
      <c r="E62" s="14">
        <v>5</v>
      </c>
      <c r="F62" s="14" t="s">
        <v>286</v>
      </c>
      <c r="G62" s="12" t="s">
        <v>41</v>
      </c>
      <c r="H62" s="14" t="s">
        <v>329</v>
      </c>
      <c r="I62" s="12" t="s">
        <v>330</v>
      </c>
      <c r="J62" s="14" t="s">
        <v>267</v>
      </c>
      <c r="K62" s="12" t="s">
        <v>331</v>
      </c>
      <c r="L62" s="12" t="s">
        <v>283</v>
      </c>
      <c r="M62" s="27" t="s">
        <v>315</v>
      </c>
    </row>
    <row r="63" spans="1:13" ht="124.5" customHeight="1" x14ac:dyDescent="0.25">
      <c r="A63" s="10">
        <v>59</v>
      </c>
      <c r="B63" s="11" t="s">
        <v>332</v>
      </c>
      <c r="C63" s="12" t="s">
        <v>333</v>
      </c>
      <c r="D63" s="20" t="s">
        <v>318</v>
      </c>
      <c r="E63" s="14">
        <v>7</v>
      </c>
      <c r="F63" s="14" t="s">
        <v>286</v>
      </c>
      <c r="G63" s="12" t="s">
        <v>41</v>
      </c>
      <c r="H63" s="14" t="s">
        <v>334</v>
      </c>
      <c r="I63" s="12" t="s">
        <v>335</v>
      </c>
      <c r="J63" s="14" t="s">
        <v>267</v>
      </c>
      <c r="K63" s="12" t="s">
        <v>336</v>
      </c>
      <c r="L63" s="12" t="s">
        <v>283</v>
      </c>
      <c r="M63" s="27" t="s">
        <v>315</v>
      </c>
    </row>
    <row r="64" spans="1:13" ht="102" customHeight="1" x14ac:dyDescent="0.25">
      <c r="A64" s="10">
        <v>60</v>
      </c>
      <c r="B64" s="11" t="s">
        <v>337</v>
      </c>
      <c r="C64" s="12" t="s">
        <v>338</v>
      </c>
      <c r="D64" s="20" t="s">
        <v>318</v>
      </c>
      <c r="E64" s="14">
        <v>1</v>
      </c>
      <c r="F64" s="14" t="s">
        <v>286</v>
      </c>
      <c r="G64" s="12" t="s">
        <v>41</v>
      </c>
      <c r="H64" s="14" t="s">
        <v>339</v>
      </c>
      <c r="I64" s="12" t="s">
        <v>340</v>
      </c>
      <c r="J64" s="14" t="s">
        <v>267</v>
      </c>
      <c r="K64" s="12" t="s">
        <v>341</v>
      </c>
      <c r="L64" s="12" t="s">
        <v>283</v>
      </c>
      <c r="M64" s="23" t="s">
        <v>342</v>
      </c>
    </row>
    <row r="65" spans="1:13" ht="113.25" customHeight="1" x14ac:dyDescent="0.25">
      <c r="A65" s="10">
        <v>61</v>
      </c>
      <c r="B65" s="11" t="s">
        <v>343</v>
      </c>
      <c r="C65" s="12" t="s">
        <v>344</v>
      </c>
      <c r="D65" s="20" t="s">
        <v>318</v>
      </c>
      <c r="E65" s="14">
        <v>1</v>
      </c>
      <c r="F65" s="14" t="s">
        <v>286</v>
      </c>
      <c r="G65" s="12" t="s">
        <v>41</v>
      </c>
      <c r="H65" s="14" t="s">
        <v>345</v>
      </c>
      <c r="I65" s="12" t="s">
        <v>346</v>
      </c>
      <c r="J65" s="14" t="s">
        <v>267</v>
      </c>
      <c r="K65" s="12" t="s">
        <v>347</v>
      </c>
      <c r="L65" s="12" t="s">
        <v>283</v>
      </c>
      <c r="M65" s="23" t="s">
        <v>342</v>
      </c>
    </row>
    <row r="66" spans="1:13" ht="113.25" customHeight="1" x14ac:dyDescent="0.25">
      <c r="A66" s="10">
        <v>62</v>
      </c>
      <c r="B66" s="11" t="s">
        <v>348</v>
      </c>
      <c r="C66" s="12" t="s">
        <v>349</v>
      </c>
      <c r="D66" s="20" t="s">
        <v>278</v>
      </c>
      <c r="E66" s="14">
        <v>10</v>
      </c>
      <c r="F66" s="14" t="s">
        <v>286</v>
      </c>
      <c r="G66" s="12" t="s">
        <v>41</v>
      </c>
      <c r="H66" s="14" t="s">
        <v>350</v>
      </c>
      <c r="I66" s="12" t="s">
        <v>351</v>
      </c>
      <c r="J66" s="14" t="s">
        <v>267</v>
      </c>
      <c r="K66" s="12" t="s">
        <v>352</v>
      </c>
      <c r="L66" s="12" t="s">
        <v>283</v>
      </c>
      <c r="M66" s="27" t="s">
        <v>68</v>
      </c>
    </row>
    <row r="67" spans="1:13" ht="124.5" customHeight="1" x14ac:dyDescent="0.25">
      <c r="A67" s="10">
        <v>63</v>
      </c>
      <c r="B67" s="11" t="s">
        <v>353</v>
      </c>
      <c r="C67" s="12" t="s">
        <v>354</v>
      </c>
      <c r="D67" s="20" t="s">
        <v>318</v>
      </c>
      <c r="E67" s="14">
        <v>2</v>
      </c>
      <c r="F67" s="14" t="s">
        <v>355</v>
      </c>
      <c r="G67" s="12" t="s">
        <v>41</v>
      </c>
      <c r="H67" s="14" t="s">
        <v>356</v>
      </c>
      <c r="I67" s="12" t="s">
        <v>357</v>
      </c>
      <c r="J67" s="14" t="s">
        <v>267</v>
      </c>
      <c r="K67" s="12" t="s">
        <v>358</v>
      </c>
      <c r="L67" s="12" t="s">
        <v>283</v>
      </c>
      <c r="M67" s="27" t="s">
        <v>359</v>
      </c>
    </row>
    <row r="68" spans="1:13" ht="113.25" customHeight="1" x14ac:dyDescent="0.25">
      <c r="A68" s="10">
        <v>64</v>
      </c>
      <c r="B68" s="11" t="s">
        <v>360</v>
      </c>
      <c r="C68" s="12" t="s">
        <v>361</v>
      </c>
      <c r="D68" s="20" t="s">
        <v>51</v>
      </c>
      <c r="E68" s="14">
        <v>1</v>
      </c>
      <c r="F68" s="14" t="s">
        <v>362</v>
      </c>
      <c r="G68" s="12" t="s">
        <v>41</v>
      </c>
      <c r="H68" s="14" t="s">
        <v>363</v>
      </c>
      <c r="I68" s="12" t="s">
        <v>364</v>
      </c>
      <c r="J68" s="14" t="s">
        <v>267</v>
      </c>
      <c r="K68" s="12" t="s">
        <v>365</v>
      </c>
      <c r="L68" s="12" t="s">
        <v>283</v>
      </c>
      <c r="M68" s="27" t="s">
        <v>68</v>
      </c>
    </row>
    <row r="69" spans="1:13" ht="135.75" customHeight="1" x14ac:dyDescent="0.25">
      <c r="A69" s="10">
        <v>65</v>
      </c>
      <c r="B69" s="11" t="s">
        <v>366</v>
      </c>
      <c r="C69" s="12" t="s">
        <v>367</v>
      </c>
      <c r="D69" s="20" t="s">
        <v>318</v>
      </c>
      <c r="E69" s="14">
        <v>2</v>
      </c>
      <c r="F69" s="14" t="s">
        <v>286</v>
      </c>
      <c r="G69" s="12" t="s">
        <v>41</v>
      </c>
      <c r="H69" s="14" t="s">
        <v>368</v>
      </c>
      <c r="I69" s="12" t="s">
        <v>369</v>
      </c>
      <c r="J69" s="14" t="s">
        <v>267</v>
      </c>
      <c r="K69" s="12" t="s">
        <v>370</v>
      </c>
      <c r="L69" s="12" t="s">
        <v>283</v>
      </c>
      <c r="M69" s="23" t="s">
        <v>342</v>
      </c>
    </row>
    <row r="70" spans="1:13" ht="68.25" customHeight="1" x14ac:dyDescent="0.25">
      <c r="A70" s="10">
        <v>66</v>
      </c>
      <c r="B70" s="11" t="s">
        <v>371</v>
      </c>
      <c r="C70" s="12" t="s">
        <v>372</v>
      </c>
      <c r="D70" s="20" t="s">
        <v>51</v>
      </c>
      <c r="E70" s="14">
        <v>1</v>
      </c>
      <c r="F70" s="14" t="s">
        <v>286</v>
      </c>
      <c r="G70" s="12" t="s">
        <v>41</v>
      </c>
      <c r="H70" s="14" t="s">
        <v>373</v>
      </c>
      <c r="I70" s="12" t="s">
        <v>374</v>
      </c>
      <c r="J70" s="14" t="s">
        <v>267</v>
      </c>
      <c r="K70" s="12" t="s">
        <v>375</v>
      </c>
      <c r="L70" s="12" t="s">
        <v>283</v>
      </c>
      <c r="M70" s="27" t="s">
        <v>68</v>
      </c>
    </row>
    <row r="71" spans="1:13" ht="68.25" customHeight="1" x14ac:dyDescent="0.25">
      <c r="A71" s="10">
        <v>67</v>
      </c>
      <c r="B71" s="11" t="s">
        <v>376</v>
      </c>
      <c r="C71" s="12" t="s">
        <v>377</v>
      </c>
      <c r="D71" s="20" t="s">
        <v>293</v>
      </c>
      <c r="E71" s="14">
        <v>1</v>
      </c>
      <c r="F71" s="14" t="s">
        <v>286</v>
      </c>
      <c r="G71" s="12" t="s">
        <v>41</v>
      </c>
      <c r="H71" s="14" t="s">
        <v>378</v>
      </c>
      <c r="I71" s="12" t="s">
        <v>379</v>
      </c>
      <c r="J71" s="14" t="s">
        <v>267</v>
      </c>
      <c r="K71" s="12" t="s">
        <v>380</v>
      </c>
      <c r="L71" s="12" t="s">
        <v>283</v>
      </c>
      <c r="M71" s="27" t="s">
        <v>315</v>
      </c>
    </row>
    <row r="72" spans="1:13" ht="90.75" customHeight="1" x14ac:dyDescent="0.25">
      <c r="A72" s="10">
        <v>68</v>
      </c>
      <c r="B72" s="11" t="s">
        <v>381</v>
      </c>
      <c r="C72" s="12" t="s">
        <v>382</v>
      </c>
      <c r="D72" s="20" t="s">
        <v>293</v>
      </c>
      <c r="E72" s="14">
        <v>1</v>
      </c>
      <c r="F72" s="14" t="s">
        <v>286</v>
      </c>
      <c r="G72" s="12" t="s">
        <v>41</v>
      </c>
      <c r="H72" s="14" t="s">
        <v>378</v>
      </c>
      <c r="I72" s="12" t="s">
        <v>383</v>
      </c>
      <c r="J72" s="14" t="s">
        <v>267</v>
      </c>
      <c r="K72" s="12" t="s">
        <v>384</v>
      </c>
      <c r="L72" s="12" t="s">
        <v>283</v>
      </c>
      <c r="M72" s="27" t="s">
        <v>68</v>
      </c>
    </row>
    <row r="73" spans="1:13" ht="113.25" customHeight="1" x14ac:dyDescent="0.25">
      <c r="A73" s="10">
        <v>69</v>
      </c>
      <c r="B73" s="11" t="s">
        <v>385</v>
      </c>
      <c r="C73" s="12" t="s">
        <v>386</v>
      </c>
      <c r="D73" s="20" t="s">
        <v>318</v>
      </c>
      <c r="E73" s="14">
        <v>1</v>
      </c>
      <c r="F73" s="14" t="s">
        <v>286</v>
      </c>
      <c r="G73" s="12" t="s">
        <v>41</v>
      </c>
      <c r="H73" s="14" t="s">
        <v>387</v>
      </c>
      <c r="I73" s="12" t="s">
        <v>388</v>
      </c>
      <c r="J73" s="14" t="s">
        <v>267</v>
      </c>
      <c r="K73" s="12" t="s">
        <v>389</v>
      </c>
      <c r="L73" s="12" t="s">
        <v>283</v>
      </c>
      <c r="M73" s="27" t="s">
        <v>68</v>
      </c>
    </row>
    <row r="74" spans="1:13" ht="102" customHeight="1" x14ac:dyDescent="0.25">
      <c r="A74" s="10">
        <v>70</v>
      </c>
      <c r="B74" s="11" t="s">
        <v>390</v>
      </c>
      <c r="C74" s="12" t="s">
        <v>391</v>
      </c>
      <c r="D74" s="20" t="s">
        <v>318</v>
      </c>
      <c r="E74" s="14">
        <v>3</v>
      </c>
      <c r="F74" s="14" t="s">
        <v>286</v>
      </c>
      <c r="G74" s="12" t="s">
        <v>41</v>
      </c>
      <c r="H74" s="14" t="s">
        <v>392</v>
      </c>
      <c r="I74" s="12" t="s">
        <v>393</v>
      </c>
      <c r="J74" s="14" t="s">
        <v>267</v>
      </c>
      <c r="K74" s="12" t="s">
        <v>394</v>
      </c>
      <c r="L74" s="12" t="s">
        <v>283</v>
      </c>
      <c r="M74" s="27" t="s">
        <v>359</v>
      </c>
    </row>
    <row r="75" spans="1:13" ht="113.25" customHeight="1" x14ac:dyDescent="0.25">
      <c r="A75" s="10">
        <v>71</v>
      </c>
      <c r="B75" s="11" t="s">
        <v>395</v>
      </c>
      <c r="C75" s="12" t="s">
        <v>396</v>
      </c>
      <c r="D75" s="20" t="s">
        <v>51</v>
      </c>
      <c r="E75" s="14">
        <v>5</v>
      </c>
      <c r="F75" s="14" t="s">
        <v>286</v>
      </c>
      <c r="G75" s="12" t="s">
        <v>41</v>
      </c>
      <c r="H75" s="14" t="s">
        <v>397</v>
      </c>
      <c r="I75" s="12" t="s">
        <v>398</v>
      </c>
      <c r="J75" s="14" t="s">
        <v>267</v>
      </c>
      <c r="K75" s="12" t="s">
        <v>399</v>
      </c>
      <c r="L75" s="12" t="s">
        <v>283</v>
      </c>
      <c r="M75" s="27" t="s">
        <v>68</v>
      </c>
    </row>
    <row r="76" spans="1:13" ht="113.25" customHeight="1" x14ac:dyDescent="0.25">
      <c r="A76" s="10">
        <v>72</v>
      </c>
      <c r="B76" s="11" t="s">
        <v>400</v>
      </c>
      <c r="C76" s="12" t="s">
        <v>401</v>
      </c>
      <c r="D76" s="20" t="s">
        <v>318</v>
      </c>
      <c r="E76" s="14">
        <v>2</v>
      </c>
      <c r="F76" s="14" t="s">
        <v>286</v>
      </c>
      <c r="G76" s="12" t="s">
        <v>41</v>
      </c>
      <c r="H76" s="14" t="s">
        <v>402</v>
      </c>
      <c r="I76" s="12" t="s">
        <v>403</v>
      </c>
      <c r="J76" s="14" t="s">
        <v>267</v>
      </c>
      <c r="K76" s="12" t="s">
        <v>404</v>
      </c>
      <c r="L76" s="12" t="s">
        <v>283</v>
      </c>
      <c r="M76" s="27" t="s">
        <v>68</v>
      </c>
    </row>
    <row r="77" spans="1:13" ht="147" customHeight="1" x14ac:dyDescent="0.25">
      <c r="A77" s="10">
        <v>73</v>
      </c>
      <c r="B77" s="11" t="s">
        <v>405</v>
      </c>
      <c r="C77" s="12" t="s">
        <v>406</v>
      </c>
      <c r="D77" s="20" t="s">
        <v>51</v>
      </c>
      <c r="E77" s="14">
        <v>2</v>
      </c>
      <c r="F77" s="14" t="s">
        <v>407</v>
      </c>
      <c r="G77" s="12" t="s">
        <v>41</v>
      </c>
      <c r="H77" s="14" t="s">
        <v>408</v>
      </c>
      <c r="I77" s="12" t="s">
        <v>409</v>
      </c>
      <c r="J77" s="14" t="s">
        <v>267</v>
      </c>
      <c r="K77" s="12" t="s">
        <v>410</v>
      </c>
      <c r="L77" s="12" t="s">
        <v>283</v>
      </c>
      <c r="M77" s="27" t="s">
        <v>68</v>
      </c>
    </row>
    <row r="78" spans="1:13" ht="135.75" customHeight="1" x14ac:dyDescent="0.25">
      <c r="A78" s="10">
        <v>74</v>
      </c>
      <c r="B78" s="11" t="s">
        <v>411</v>
      </c>
      <c r="C78" s="12" t="s">
        <v>412</v>
      </c>
      <c r="D78" s="20" t="s">
        <v>413</v>
      </c>
      <c r="E78" s="14">
        <v>5</v>
      </c>
      <c r="F78" s="14" t="s">
        <v>414</v>
      </c>
      <c r="G78" s="12" t="s">
        <v>41</v>
      </c>
      <c r="H78" s="14" t="s">
        <v>415</v>
      </c>
      <c r="I78" s="12" t="s">
        <v>416</v>
      </c>
      <c r="J78" s="14" t="s">
        <v>267</v>
      </c>
      <c r="K78" s="12" t="s">
        <v>417</v>
      </c>
      <c r="L78" s="12" t="s">
        <v>283</v>
      </c>
      <c r="M78" s="27" t="s">
        <v>68</v>
      </c>
    </row>
    <row r="79" spans="1:13" ht="180" customHeight="1" x14ac:dyDescent="0.25">
      <c r="A79" s="10">
        <v>75</v>
      </c>
      <c r="B79" s="11" t="s">
        <v>418</v>
      </c>
      <c r="C79" s="12" t="s">
        <v>419</v>
      </c>
      <c r="D79" s="20" t="s">
        <v>420</v>
      </c>
      <c r="E79" s="14">
        <v>10</v>
      </c>
      <c r="F79" s="14" t="s">
        <v>421</v>
      </c>
      <c r="G79" s="12" t="s">
        <v>41</v>
      </c>
      <c r="H79" s="14" t="s">
        <v>422</v>
      </c>
      <c r="I79" s="12" t="s">
        <v>423</v>
      </c>
      <c r="J79" s="14" t="s">
        <v>267</v>
      </c>
      <c r="K79" s="12" t="s">
        <v>424</v>
      </c>
      <c r="L79" s="12" t="s">
        <v>283</v>
      </c>
      <c r="M79" s="23" t="s">
        <v>425</v>
      </c>
    </row>
    <row r="80" spans="1:13" ht="90.75" customHeight="1" x14ac:dyDescent="0.25">
      <c r="A80" s="10">
        <v>76</v>
      </c>
      <c r="B80" s="11" t="s">
        <v>426</v>
      </c>
      <c r="C80" s="12" t="s">
        <v>427</v>
      </c>
      <c r="D80" s="20" t="s">
        <v>84</v>
      </c>
      <c r="E80" s="14">
        <v>10</v>
      </c>
      <c r="F80" s="14" t="s">
        <v>428</v>
      </c>
      <c r="G80" s="12" t="s">
        <v>41</v>
      </c>
      <c r="H80" s="14" t="s">
        <v>429</v>
      </c>
      <c r="I80" s="12" t="s">
        <v>430</v>
      </c>
      <c r="J80" s="14" t="s">
        <v>267</v>
      </c>
      <c r="K80" s="12" t="s">
        <v>431</v>
      </c>
      <c r="L80" s="12" t="s">
        <v>283</v>
      </c>
      <c r="M80" s="27" t="s">
        <v>432</v>
      </c>
    </row>
    <row r="81" spans="1:13" ht="113.25" customHeight="1" x14ac:dyDescent="0.25">
      <c r="A81" s="10">
        <v>77</v>
      </c>
      <c r="B81" s="11" t="s">
        <v>433</v>
      </c>
      <c r="C81" s="12" t="s">
        <v>434</v>
      </c>
      <c r="D81" s="20" t="s">
        <v>51</v>
      </c>
      <c r="E81" s="14">
        <v>5</v>
      </c>
      <c r="F81" s="14" t="s">
        <v>407</v>
      </c>
      <c r="G81" s="12" t="s">
        <v>41</v>
      </c>
      <c r="H81" s="14" t="s">
        <v>435</v>
      </c>
      <c r="I81" s="12" t="s">
        <v>436</v>
      </c>
      <c r="J81" s="14" t="s">
        <v>267</v>
      </c>
      <c r="K81" s="12" t="s">
        <v>437</v>
      </c>
      <c r="L81" s="12" t="s">
        <v>283</v>
      </c>
      <c r="M81" s="27" t="s">
        <v>68</v>
      </c>
    </row>
    <row r="82" spans="1:13" ht="90.75" customHeight="1" x14ac:dyDescent="0.25">
      <c r="A82" s="10">
        <v>78</v>
      </c>
      <c r="B82" s="11" t="s">
        <v>438</v>
      </c>
      <c r="C82" s="12" t="s">
        <v>439</v>
      </c>
      <c r="D82" s="20" t="s">
        <v>440</v>
      </c>
      <c r="E82" s="14">
        <v>1</v>
      </c>
      <c r="F82" s="14" t="s">
        <v>441</v>
      </c>
      <c r="G82" s="12" t="s">
        <v>41</v>
      </c>
      <c r="H82" s="14" t="s">
        <v>42</v>
      </c>
      <c r="I82" s="12" t="s">
        <v>442</v>
      </c>
      <c r="J82" s="14" t="s">
        <v>443</v>
      </c>
      <c r="K82" s="12" t="s">
        <v>444</v>
      </c>
      <c r="L82" s="12" t="s">
        <v>283</v>
      </c>
      <c r="M82" s="15" t="s">
        <v>47</v>
      </c>
    </row>
    <row r="83" spans="1:13" ht="79.5" customHeight="1" x14ac:dyDescent="0.25">
      <c r="A83" s="10">
        <v>79</v>
      </c>
      <c r="B83" s="11" t="s">
        <v>445</v>
      </c>
      <c r="C83" s="12" t="s">
        <v>446</v>
      </c>
      <c r="D83" s="20" t="s">
        <v>440</v>
      </c>
      <c r="E83" s="14">
        <v>1</v>
      </c>
      <c r="F83" s="14" t="s">
        <v>447</v>
      </c>
      <c r="G83" s="12" t="s">
        <v>41</v>
      </c>
      <c r="H83" s="14" t="s">
        <v>42</v>
      </c>
      <c r="I83" s="12" t="s">
        <v>448</v>
      </c>
      <c r="J83" s="14" t="s">
        <v>449</v>
      </c>
      <c r="K83" s="12" t="s">
        <v>450</v>
      </c>
      <c r="L83" s="12" t="s">
        <v>283</v>
      </c>
      <c r="M83" s="15" t="s">
        <v>47</v>
      </c>
    </row>
    <row r="84" spans="1:13" ht="68.25" customHeight="1" x14ac:dyDescent="0.25">
      <c r="A84" s="10">
        <v>80</v>
      </c>
      <c r="B84" s="11" t="s">
        <v>451</v>
      </c>
      <c r="C84" s="12" t="s">
        <v>452</v>
      </c>
      <c r="D84" s="20" t="s">
        <v>440</v>
      </c>
      <c r="E84" s="14">
        <v>180</v>
      </c>
      <c r="F84" s="14" t="s">
        <v>286</v>
      </c>
      <c r="G84" s="12" t="s">
        <v>41</v>
      </c>
      <c r="H84" s="14" t="s">
        <v>453</v>
      </c>
      <c r="I84" s="12" t="s">
        <v>454</v>
      </c>
      <c r="J84" s="14" t="s">
        <v>91</v>
      </c>
      <c r="K84" s="12" t="s">
        <v>455</v>
      </c>
      <c r="L84" s="12" t="s">
        <v>456</v>
      </c>
      <c r="M84" s="27" t="s">
        <v>68</v>
      </c>
    </row>
    <row r="85" spans="1:13" ht="68.25" customHeight="1" x14ac:dyDescent="0.25">
      <c r="A85" s="10">
        <v>81</v>
      </c>
      <c r="B85" s="11" t="s">
        <v>457</v>
      </c>
      <c r="C85" s="12" t="s">
        <v>458</v>
      </c>
      <c r="D85" s="20" t="s">
        <v>459</v>
      </c>
      <c r="E85" s="14">
        <v>1</v>
      </c>
      <c r="F85" s="14" t="s">
        <v>460</v>
      </c>
      <c r="G85" s="12" t="s">
        <v>41</v>
      </c>
      <c r="H85" s="14" t="s">
        <v>461</v>
      </c>
      <c r="I85" s="12" t="s">
        <v>462</v>
      </c>
      <c r="J85" s="14" t="s">
        <v>463</v>
      </c>
      <c r="K85" s="12" t="s">
        <v>464</v>
      </c>
      <c r="L85" s="12" t="s">
        <v>283</v>
      </c>
      <c r="M85" s="27" t="s">
        <v>68</v>
      </c>
    </row>
    <row r="86" spans="1:13" ht="79.5" customHeight="1" x14ac:dyDescent="0.25">
      <c r="A86" s="10">
        <v>82</v>
      </c>
      <c r="B86" s="11" t="s">
        <v>465</v>
      </c>
      <c r="C86" s="12" t="s">
        <v>466</v>
      </c>
      <c r="D86" s="20" t="s">
        <v>459</v>
      </c>
      <c r="E86" s="14">
        <v>1</v>
      </c>
      <c r="F86" s="14" t="s">
        <v>467</v>
      </c>
      <c r="G86" s="12" t="s">
        <v>41</v>
      </c>
      <c r="H86" s="14" t="s">
        <v>468</v>
      </c>
      <c r="I86" s="12" t="s">
        <v>469</v>
      </c>
      <c r="J86" s="14" t="s">
        <v>470</v>
      </c>
      <c r="K86" s="12" t="s">
        <v>471</v>
      </c>
      <c r="L86" s="12" t="s">
        <v>283</v>
      </c>
      <c r="M86" s="27" t="s">
        <v>68</v>
      </c>
    </row>
    <row r="87" spans="1:13" ht="34.5" customHeight="1" x14ac:dyDescent="0.25">
      <c r="A87" s="10">
        <v>83</v>
      </c>
      <c r="B87" s="11" t="s">
        <v>472</v>
      </c>
      <c r="C87" s="12" t="s">
        <v>473</v>
      </c>
      <c r="D87" s="20" t="s">
        <v>474</v>
      </c>
      <c r="E87" s="14">
        <v>1</v>
      </c>
      <c r="F87" s="14" t="s">
        <v>88</v>
      </c>
      <c r="G87" s="12" t="s">
        <v>41</v>
      </c>
      <c r="H87" s="14" t="s">
        <v>475</v>
      </c>
      <c r="I87" s="12" t="s">
        <v>476</v>
      </c>
      <c r="J87" s="14" t="s">
        <v>477</v>
      </c>
      <c r="K87" s="12" t="s">
        <v>478</v>
      </c>
      <c r="L87" s="12" t="s">
        <v>283</v>
      </c>
      <c r="M87" s="27" t="s">
        <v>479</v>
      </c>
    </row>
    <row r="88" spans="1:13" ht="57" customHeight="1" x14ac:dyDescent="0.25">
      <c r="A88" s="10">
        <v>84</v>
      </c>
      <c r="B88" s="11" t="s">
        <v>480</v>
      </c>
      <c r="C88" s="12" t="s">
        <v>481</v>
      </c>
      <c r="D88" s="20" t="s">
        <v>474</v>
      </c>
      <c r="E88" s="14">
        <v>1</v>
      </c>
      <c r="F88" s="14" t="s">
        <v>447</v>
      </c>
      <c r="G88" s="12" t="s">
        <v>41</v>
      </c>
      <c r="H88" s="14" t="s">
        <v>482</v>
      </c>
      <c r="I88" s="12" t="s">
        <v>483</v>
      </c>
      <c r="J88" s="14" t="s">
        <v>470</v>
      </c>
      <c r="K88" s="12" t="s">
        <v>484</v>
      </c>
      <c r="L88" s="12" t="s">
        <v>283</v>
      </c>
      <c r="M88" s="27" t="s">
        <v>479</v>
      </c>
    </row>
    <row r="89" spans="1:13" ht="90.75" customHeight="1" x14ac:dyDescent="0.25">
      <c r="A89" s="10">
        <v>85</v>
      </c>
      <c r="B89" s="11" t="s">
        <v>485</v>
      </c>
      <c r="C89" s="12" t="s">
        <v>486</v>
      </c>
      <c r="D89" s="20" t="s">
        <v>487</v>
      </c>
      <c r="E89" s="14">
        <v>1</v>
      </c>
      <c r="F89" s="14" t="s">
        <v>88</v>
      </c>
      <c r="G89" s="12" t="s">
        <v>41</v>
      </c>
      <c r="H89" s="14" t="s">
        <v>488</v>
      </c>
      <c r="I89" s="12" t="s">
        <v>489</v>
      </c>
      <c r="J89" s="14" t="s">
        <v>91</v>
      </c>
      <c r="K89" s="12" t="s">
        <v>490</v>
      </c>
      <c r="L89" s="12" t="s">
        <v>283</v>
      </c>
      <c r="M89" s="27" t="s">
        <v>68</v>
      </c>
    </row>
    <row r="90" spans="1:13" ht="68.25" customHeight="1" x14ac:dyDescent="0.25">
      <c r="A90" s="10">
        <v>86</v>
      </c>
      <c r="B90" s="11" t="s">
        <v>491</v>
      </c>
      <c r="C90" s="12" t="s">
        <v>492</v>
      </c>
      <c r="D90" s="20" t="s">
        <v>493</v>
      </c>
      <c r="E90" s="14">
        <v>60</v>
      </c>
      <c r="F90" s="14" t="s">
        <v>286</v>
      </c>
      <c r="G90" s="12" t="s">
        <v>41</v>
      </c>
      <c r="H90" s="14" t="s">
        <v>494</v>
      </c>
      <c r="I90" s="12" t="s">
        <v>495</v>
      </c>
      <c r="J90" s="14" t="s">
        <v>496</v>
      </c>
      <c r="K90" s="12" t="s">
        <v>497</v>
      </c>
      <c r="L90" s="12" t="s">
        <v>283</v>
      </c>
      <c r="M90" s="27" t="s">
        <v>68</v>
      </c>
    </row>
    <row r="91" spans="1:13" ht="57" customHeight="1" x14ac:dyDescent="0.25">
      <c r="A91" s="10">
        <v>87</v>
      </c>
      <c r="B91" s="11" t="s">
        <v>498</v>
      </c>
      <c r="C91" s="12" t="s">
        <v>499</v>
      </c>
      <c r="D91" s="20" t="s">
        <v>500</v>
      </c>
      <c r="E91" s="14">
        <v>1</v>
      </c>
      <c r="F91" s="14" t="s">
        <v>88</v>
      </c>
      <c r="G91" s="12" t="s">
        <v>41</v>
      </c>
      <c r="H91" s="14" t="s">
        <v>501</v>
      </c>
      <c r="I91" s="12" t="s">
        <v>502</v>
      </c>
      <c r="J91" s="14" t="s">
        <v>503</v>
      </c>
      <c r="K91" s="12" t="s">
        <v>504</v>
      </c>
      <c r="L91" s="12" t="s">
        <v>283</v>
      </c>
      <c r="M91" s="27" t="s">
        <v>479</v>
      </c>
    </row>
    <row r="92" spans="1:13" ht="102" customHeight="1" x14ac:dyDescent="0.25">
      <c r="A92" s="10">
        <v>88</v>
      </c>
      <c r="B92" s="11" t="s">
        <v>505</v>
      </c>
      <c r="C92" s="12" t="s">
        <v>506</v>
      </c>
      <c r="D92" s="20" t="s">
        <v>474</v>
      </c>
      <c r="E92" s="14">
        <v>2</v>
      </c>
      <c r="F92" s="14" t="s">
        <v>507</v>
      </c>
      <c r="G92" s="12" t="s">
        <v>41</v>
      </c>
      <c r="H92" s="14" t="s">
        <v>508</v>
      </c>
      <c r="I92" s="12" t="s">
        <v>509</v>
      </c>
      <c r="J92" s="14" t="s">
        <v>510</v>
      </c>
      <c r="K92" s="12" t="s">
        <v>511</v>
      </c>
      <c r="L92" s="12" t="s">
        <v>283</v>
      </c>
      <c r="M92" s="27" t="s">
        <v>479</v>
      </c>
    </row>
    <row r="93" spans="1:13" ht="57" customHeight="1" x14ac:dyDescent="0.25">
      <c r="A93" s="10">
        <v>89</v>
      </c>
      <c r="B93" s="11" t="s">
        <v>512</v>
      </c>
      <c r="C93" s="12" t="s">
        <v>513</v>
      </c>
      <c r="D93" s="20" t="s">
        <v>474</v>
      </c>
      <c r="E93" s="14">
        <v>1</v>
      </c>
      <c r="F93" s="14" t="s">
        <v>514</v>
      </c>
      <c r="G93" s="12" t="s">
        <v>41</v>
      </c>
      <c r="H93" s="14" t="s">
        <v>515</v>
      </c>
      <c r="I93" s="12" t="s">
        <v>516</v>
      </c>
      <c r="J93" s="14" t="s">
        <v>470</v>
      </c>
      <c r="K93" s="12" t="s">
        <v>517</v>
      </c>
      <c r="L93" s="12" t="s">
        <v>283</v>
      </c>
      <c r="M93" s="27" t="s">
        <v>68</v>
      </c>
    </row>
    <row r="94" spans="1:13" ht="45.75" customHeight="1" x14ac:dyDescent="0.25">
      <c r="A94" s="10">
        <v>90</v>
      </c>
      <c r="B94" s="11" t="s">
        <v>518</v>
      </c>
      <c r="C94" s="12" t="s">
        <v>519</v>
      </c>
      <c r="D94" s="20" t="s">
        <v>520</v>
      </c>
      <c r="E94" s="14">
        <v>1</v>
      </c>
      <c r="F94" s="14" t="s">
        <v>521</v>
      </c>
      <c r="G94" s="12" t="s">
        <v>41</v>
      </c>
      <c r="H94" s="14" t="s">
        <v>522</v>
      </c>
      <c r="I94" s="12" t="s">
        <v>523</v>
      </c>
      <c r="J94" s="14" t="s">
        <v>524</v>
      </c>
      <c r="K94" s="12" t="s">
        <v>525</v>
      </c>
      <c r="L94" s="12" t="s">
        <v>283</v>
      </c>
      <c r="M94" s="23" t="s">
        <v>342</v>
      </c>
    </row>
    <row r="95" spans="1:13" ht="90.75" customHeight="1" x14ac:dyDescent="0.25">
      <c r="A95" s="10">
        <v>91</v>
      </c>
      <c r="B95" s="11" t="s">
        <v>526</v>
      </c>
      <c r="C95" s="12" t="s">
        <v>527</v>
      </c>
      <c r="D95" s="20" t="s">
        <v>520</v>
      </c>
      <c r="E95" s="14">
        <v>8</v>
      </c>
      <c r="F95" s="14" t="s">
        <v>528</v>
      </c>
      <c r="G95" s="12" t="s">
        <v>41</v>
      </c>
      <c r="H95" s="14" t="s">
        <v>529</v>
      </c>
      <c r="I95" s="12" t="s">
        <v>530</v>
      </c>
      <c r="J95" s="14" t="s">
        <v>524</v>
      </c>
      <c r="K95" s="12" t="s">
        <v>531</v>
      </c>
      <c r="L95" s="12" t="s">
        <v>532</v>
      </c>
      <c r="M95" s="27" t="s">
        <v>479</v>
      </c>
    </row>
    <row r="96" spans="1:13" ht="127.5" x14ac:dyDescent="0.25">
      <c r="A96" s="10">
        <v>92</v>
      </c>
      <c r="B96" s="11" t="s">
        <v>533</v>
      </c>
      <c r="C96" s="12" t="s">
        <v>534</v>
      </c>
      <c r="D96" s="20" t="s">
        <v>520</v>
      </c>
      <c r="E96" s="14">
        <v>1</v>
      </c>
      <c r="F96" s="14" t="s">
        <v>535</v>
      </c>
      <c r="G96" s="12" t="s">
        <v>41</v>
      </c>
      <c r="H96" s="14" t="s">
        <v>536</v>
      </c>
      <c r="I96" s="12" t="s">
        <v>537</v>
      </c>
      <c r="J96" s="14" t="s">
        <v>524</v>
      </c>
      <c r="K96" s="12" t="s">
        <v>538</v>
      </c>
      <c r="L96" s="12" t="s">
        <v>283</v>
      </c>
      <c r="M96" s="23" t="s">
        <v>342</v>
      </c>
    </row>
    <row r="97" spans="1:13" ht="114.75" x14ac:dyDescent="0.25">
      <c r="A97" s="10">
        <v>93</v>
      </c>
      <c r="B97" s="11" t="s">
        <v>539</v>
      </c>
      <c r="C97" s="12" t="s">
        <v>540</v>
      </c>
      <c r="D97" s="20" t="s">
        <v>520</v>
      </c>
      <c r="E97" s="14">
        <v>1</v>
      </c>
      <c r="F97" s="14" t="s">
        <v>541</v>
      </c>
      <c r="G97" s="12" t="s">
        <v>41</v>
      </c>
      <c r="H97" s="14" t="s">
        <v>542</v>
      </c>
      <c r="I97" s="12" t="s">
        <v>543</v>
      </c>
      <c r="J97" s="14" t="s">
        <v>524</v>
      </c>
      <c r="K97" s="12" t="s">
        <v>544</v>
      </c>
      <c r="L97" s="12" t="s">
        <v>283</v>
      </c>
      <c r="M97" s="23" t="s">
        <v>342</v>
      </c>
    </row>
    <row r="98" spans="1:13" x14ac:dyDescent="0.25">
      <c r="A98">
        <v>94</v>
      </c>
      <c r="B98" t="s">
        <v>690</v>
      </c>
      <c r="C98" t="s">
        <v>691</v>
      </c>
      <c r="D98" t="s">
        <v>293</v>
      </c>
      <c r="E98">
        <v>1</v>
      </c>
      <c r="F98" t="s">
        <v>692</v>
      </c>
      <c r="G98" t="s">
        <v>693</v>
      </c>
      <c r="H98" t="s">
        <v>694</v>
      </c>
      <c r="I98" t="s">
        <v>695</v>
      </c>
      <c r="J98" t="s">
        <v>696</v>
      </c>
      <c r="K98" t="s">
        <v>697</v>
      </c>
      <c r="L98" t="s">
        <v>698</v>
      </c>
      <c r="M98" t="s">
        <v>47</v>
      </c>
    </row>
    <row r="99" spans="1:13" x14ac:dyDescent="0.25">
      <c r="A99">
        <v>95</v>
      </c>
      <c r="B99" t="s">
        <v>699</v>
      </c>
      <c r="C99" t="s">
        <v>700</v>
      </c>
      <c r="D99" t="s">
        <v>178</v>
      </c>
      <c r="E99">
        <v>0</v>
      </c>
      <c r="F99" t="s">
        <v>40</v>
      </c>
      <c r="G99" t="s">
        <v>701</v>
      </c>
      <c r="H99" t="s">
        <v>702</v>
      </c>
      <c r="I99" t="s">
        <v>703</v>
      </c>
      <c r="J99" t="s">
        <v>704</v>
      </c>
      <c r="K99" t="s">
        <v>705</v>
      </c>
      <c r="L99" t="s">
        <v>622</v>
      </c>
      <c r="M99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1" customWidth="1"/>
    <col min="3" max="3" width="21" customWidth="1"/>
    <col min="4" max="4" width="17" customWidth="1"/>
    <col min="5" max="5" width="50" customWidth="1"/>
    <col min="6" max="6" width="21" customWidth="1"/>
    <col min="7" max="7" width="50" customWidth="1"/>
  </cols>
  <sheetData>
    <row r="1" spans="1:7" ht="18" customHeight="1" x14ac:dyDescent="0.3">
      <c r="A1" s="1" t="s">
        <v>545</v>
      </c>
    </row>
    <row r="2" spans="1:7" ht="15" customHeight="1" x14ac:dyDescent="0.25">
      <c r="A2" s="2" t="s">
        <v>546</v>
      </c>
    </row>
    <row r="4" spans="1:7" ht="15" customHeight="1" x14ac:dyDescent="0.25">
      <c r="A4" s="6" t="s">
        <v>24</v>
      </c>
      <c r="B4" s="6" t="s">
        <v>547</v>
      </c>
      <c r="C4" s="6" t="s">
        <v>30</v>
      </c>
      <c r="D4" s="6" t="s">
        <v>27</v>
      </c>
      <c r="E4" s="6" t="s">
        <v>548</v>
      </c>
      <c r="F4" s="6" t="s">
        <v>549</v>
      </c>
      <c r="G4" s="6" t="s">
        <v>550</v>
      </c>
    </row>
    <row r="5" spans="1:7" ht="23.25" customHeight="1" x14ac:dyDescent="0.25">
      <c r="A5" s="29" t="s">
        <v>551</v>
      </c>
      <c r="B5" s="30" t="s">
        <v>552</v>
      </c>
      <c r="C5" s="31" t="s">
        <v>553</v>
      </c>
      <c r="D5" s="14" t="s">
        <v>64</v>
      </c>
      <c r="E5" s="12" t="s">
        <v>554</v>
      </c>
      <c r="F5" s="12" t="s">
        <v>555</v>
      </c>
      <c r="G5" s="12" t="s">
        <v>556</v>
      </c>
    </row>
    <row r="6" spans="1:7" ht="34.5" customHeight="1" x14ac:dyDescent="0.25">
      <c r="A6" s="29" t="s">
        <v>557</v>
      </c>
      <c r="B6" s="32" t="s">
        <v>558</v>
      </c>
      <c r="C6" s="14" t="s">
        <v>559</v>
      </c>
      <c r="D6" s="14" t="s">
        <v>560</v>
      </c>
      <c r="E6" s="12" t="s">
        <v>561</v>
      </c>
      <c r="F6" s="12" t="s">
        <v>562</v>
      </c>
      <c r="G6" s="12" t="s">
        <v>563</v>
      </c>
    </row>
    <row r="7" spans="1:7" ht="23.25" customHeight="1" x14ac:dyDescent="0.25">
      <c r="A7" s="29" t="s">
        <v>564</v>
      </c>
      <c r="B7" s="32" t="s">
        <v>558</v>
      </c>
      <c r="C7" s="31" t="s">
        <v>565</v>
      </c>
      <c r="D7" s="14" t="s">
        <v>84</v>
      </c>
      <c r="E7" s="12" t="s">
        <v>566</v>
      </c>
      <c r="F7" s="12" t="s">
        <v>567</v>
      </c>
      <c r="G7" s="12" t="s">
        <v>568</v>
      </c>
    </row>
    <row r="8" spans="1:7" ht="34.5" customHeight="1" x14ac:dyDescent="0.25">
      <c r="A8" s="29" t="s">
        <v>569</v>
      </c>
      <c r="B8" s="32" t="s">
        <v>558</v>
      </c>
      <c r="C8" s="14" t="s">
        <v>570</v>
      </c>
      <c r="D8" s="14" t="s">
        <v>571</v>
      </c>
      <c r="E8" s="12" t="s">
        <v>572</v>
      </c>
      <c r="F8" s="12" t="s">
        <v>573</v>
      </c>
      <c r="G8" s="12" t="s">
        <v>574</v>
      </c>
    </row>
    <row r="9" spans="1:7" ht="23.25" customHeight="1" x14ac:dyDescent="0.25">
      <c r="A9" s="29" t="s">
        <v>575</v>
      </c>
      <c r="B9" s="33" t="s">
        <v>576</v>
      </c>
      <c r="C9" s="14" t="s">
        <v>570</v>
      </c>
      <c r="D9" s="14" t="s">
        <v>84</v>
      </c>
      <c r="E9" s="12" t="s">
        <v>577</v>
      </c>
      <c r="F9" s="12" t="s">
        <v>578</v>
      </c>
      <c r="G9" s="12" t="s">
        <v>579</v>
      </c>
    </row>
    <row r="10" spans="1:7" ht="34.5" customHeight="1" x14ac:dyDescent="0.25">
      <c r="A10" s="29" t="s">
        <v>580</v>
      </c>
      <c r="B10" s="32" t="s">
        <v>558</v>
      </c>
      <c r="C10" s="14" t="s">
        <v>581</v>
      </c>
      <c r="D10" s="14" t="s">
        <v>582</v>
      </c>
      <c r="E10" s="12" t="s">
        <v>583</v>
      </c>
      <c r="F10" s="12" t="s">
        <v>584</v>
      </c>
      <c r="G10" s="12" t="s">
        <v>585</v>
      </c>
    </row>
    <row r="11" spans="1:7" ht="34.5" customHeight="1" x14ac:dyDescent="0.25">
      <c r="A11" s="29" t="s">
        <v>586</v>
      </c>
      <c r="B11" s="32" t="s">
        <v>558</v>
      </c>
      <c r="C11" s="14" t="s">
        <v>570</v>
      </c>
      <c r="D11" s="14" t="s">
        <v>587</v>
      </c>
      <c r="E11" s="12" t="s">
        <v>588</v>
      </c>
      <c r="F11" s="12" t="s">
        <v>589</v>
      </c>
      <c r="G11" s="12" t="s">
        <v>590</v>
      </c>
    </row>
    <row r="12" spans="1:7" ht="34.5" customHeight="1" x14ac:dyDescent="0.25">
      <c r="A12" s="29" t="s">
        <v>591</v>
      </c>
      <c r="B12" s="30" t="s">
        <v>552</v>
      </c>
      <c r="C12" s="14" t="s">
        <v>570</v>
      </c>
      <c r="D12" s="14" t="s">
        <v>592</v>
      </c>
      <c r="E12" s="12" t="s">
        <v>593</v>
      </c>
      <c r="F12" s="12" t="s">
        <v>594</v>
      </c>
      <c r="G12" s="12" t="s">
        <v>595</v>
      </c>
    </row>
    <row r="13" spans="1:7" ht="23.25" customHeight="1" x14ac:dyDescent="0.25">
      <c r="A13" s="29" t="s">
        <v>596</v>
      </c>
      <c r="B13" s="32" t="s">
        <v>558</v>
      </c>
      <c r="C13" s="14" t="s">
        <v>570</v>
      </c>
      <c r="D13" s="14" t="s">
        <v>597</v>
      </c>
      <c r="E13" s="12" t="s">
        <v>598</v>
      </c>
      <c r="F13" s="12" t="s">
        <v>599</v>
      </c>
      <c r="G13" s="12" t="s">
        <v>600</v>
      </c>
    </row>
    <row r="14" spans="1:7" ht="23.25" customHeight="1" x14ac:dyDescent="0.25">
      <c r="A14" s="29" t="s">
        <v>601</v>
      </c>
      <c r="B14" s="32" t="s">
        <v>558</v>
      </c>
      <c r="C14" s="14" t="s">
        <v>570</v>
      </c>
      <c r="D14" s="14" t="s">
        <v>51</v>
      </c>
      <c r="E14" s="12" t="s">
        <v>602</v>
      </c>
      <c r="F14" s="12" t="s">
        <v>603</v>
      </c>
      <c r="G14" s="12" t="s">
        <v>604</v>
      </c>
    </row>
    <row r="15" spans="1:7" ht="23.25" customHeight="1" x14ac:dyDescent="0.25">
      <c r="A15" s="29" t="s">
        <v>605</v>
      </c>
      <c r="B15" s="34" t="s">
        <v>606</v>
      </c>
      <c r="C15" s="14" t="s">
        <v>570</v>
      </c>
      <c r="D15" s="14" t="s">
        <v>121</v>
      </c>
      <c r="E15" s="12" t="s">
        <v>607</v>
      </c>
      <c r="F15" s="12" t="s">
        <v>608</v>
      </c>
      <c r="G15" s="12" t="s">
        <v>609</v>
      </c>
    </row>
    <row r="16" spans="1:7" ht="15" customHeight="1" x14ac:dyDescent="0.25">
      <c r="A16" s="29" t="s">
        <v>610</v>
      </c>
      <c r="B16" s="35" t="s">
        <v>611</v>
      </c>
      <c r="C16" s="14" t="s">
        <v>570</v>
      </c>
      <c r="D16" s="14" t="s">
        <v>84</v>
      </c>
      <c r="E16" s="12" t="s">
        <v>612</v>
      </c>
      <c r="F16" s="12" t="s">
        <v>613</v>
      </c>
      <c r="G16" s="12" t="s">
        <v>614</v>
      </c>
    </row>
    <row r="17" spans="1:7" ht="15" customHeight="1" x14ac:dyDescent="0.25">
      <c r="A17" s="29" t="s">
        <v>615</v>
      </c>
      <c r="B17" s="35" t="s">
        <v>611</v>
      </c>
      <c r="C17" s="14" t="s">
        <v>570</v>
      </c>
      <c r="D17" s="14" t="s">
        <v>39</v>
      </c>
      <c r="E17" s="12" t="s">
        <v>616</v>
      </c>
      <c r="F17" s="12" t="s">
        <v>134</v>
      </c>
      <c r="G17" s="12" t="s">
        <v>617</v>
      </c>
    </row>
    <row r="18" spans="1:7" ht="23.25" customHeight="1" x14ac:dyDescent="0.25">
      <c r="A18" s="29" t="s">
        <v>618</v>
      </c>
      <c r="B18" s="35" t="s">
        <v>611</v>
      </c>
      <c r="C18" s="14" t="s">
        <v>570</v>
      </c>
      <c r="D18" s="14" t="s">
        <v>51</v>
      </c>
      <c r="E18" s="12" t="s">
        <v>619</v>
      </c>
      <c r="F18" s="12" t="s">
        <v>165</v>
      </c>
      <c r="G18" s="12" t="s">
        <v>620</v>
      </c>
    </row>
    <row r="19" spans="1:7" ht="15" customHeight="1" x14ac:dyDescent="0.25">
      <c r="A19" s="29" t="s">
        <v>621</v>
      </c>
      <c r="B19" s="36" t="s">
        <v>622</v>
      </c>
      <c r="C19" s="37" t="s">
        <v>623</v>
      </c>
      <c r="D19" s="14" t="s">
        <v>84</v>
      </c>
      <c r="E19" s="12" t="s">
        <v>624</v>
      </c>
      <c r="F19" s="12" t="s">
        <v>625</v>
      </c>
      <c r="G19" s="12" t="s">
        <v>626</v>
      </c>
    </row>
    <row r="20" spans="1:7" ht="15" customHeight="1" x14ac:dyDescent="0.25">
      <c r="A20" s="29" t="s">
        <v>627</v>
      </c>
      <c r="B20" s="36" t="s">
        <v>622</v>
      </c>
      <c r="C20" s="37" t="s">
        <v>623</v>
      </c>
      <c r="D20" s="14" t="s">
        <v>84</v>
      </c>
      <c r="E20" s="12" t="s">
        <v>628</v>
      </c>
      <c r="F20" s="12" t="s">
        <v>629</v>
      </c>
      <c r="G20" s="12" t="s">
        <v>630</v>
      </c>
    </row>
    <row r="21" spans="1:7" ht="23.25" customHeight="1" x14ac:dyDescent="0.25">
      <c r="A21" s="29" t="s">
        <v>631</v>
      </c>
      <c r="B21" s="36" t="s">
        <v>622</v>
      </c>
      <c r="C21" s="31" t="s">
        <v>632</v>
      </c>
      <c r="D21" s="14" t="s">
        <v>84</v>
      </c>
      <c r="E21" s="12" t="s">
        <v>633</v>
      </c>
      <c r="F21" s="12" t="s">
        <v>634</v>
      </c>
      <c r="G21" s="12" t="s">
        <v>635</v>
      </c>
    </row>
    <row r="22" spans="1:7" ht="15" customHeight="1" x14ac:dyDescent="0.25">
      <c r="A22" s="29" t="s">
        <v>636</v>
      </c>
      <c r="B22" s="36" t="s">
        <v>622</v>
      </c>
      <c r="C22" s="37" t="s">
        <v>623</v>
      </c>
      <c r="D22" s="14" t="s">
        <v>84</v>
      </c>
      <c r="E22" s="12" t="s">
        <v>637</v>
      </c>
      <c r="F22" s="12" t="s">
        <v>638</v>
      </c>
      <c r="G22" s="12" t="s">
        <v>639</v>
      </c>
    </row>
    <row r="23" spans="1:7" ht="34.5" customHeight="1" x14ac:dyDescent="0.25">
      <c r="A23" s="29" t="s">
        <v>640</v>
      </c>
      <c r="B23" s="32" t="s">
        <v>558</v>
      </c>
      <c r="C23" s="14" t="s">
        <v>570</v>
      </c>
      <c r="D23" s="14" t="s">
        <v>39</v>
      </c>
      <c r="E23" s="12" t="s">
        <v>641</v>
      </c>
      <c r="F23" s="12" t="s">
        <v>642</v>
      </c>
      <c r="G23" s="12" t="s">
        <v>643</v>
      </c>
    </row>
    <row r="24" spans="1:7" ht="23.25" customHeight="1" x14ac:dyDescent="0.25">
      <c r="A24" s="29" t="s">
        <v>644</v>
      </c>
      <c r="B24" s="32" t="s">
        <v>558</v>
      </c>
      <c r="C24" s="14" t="s">
        <v>570</v>
      </c>
      <c r="D24" s="14" t="s">
        <v>51</v>
      </c>
      <c r="E24" s="12" t="s">
        <v>645</v>
      </c>
      <c r="F24" s="12" t="s">
        <v>646</v>
      </c>
      <c r="G24" s="12" t="s">
        <v>647</v>
      </c>
    </row>
    <row r="25" spans="1:7" ht="23.25" customHeight="1" x14ac:dyDescent="0.25">
      <c r="A25" s="12" t="s">
        <v>648</v>
      </c>
      <c r="B25" s="38" t="s">
        <v>611</v>
      </c>
      <c r="C25" s="27" t="s">
        <v>649</v>
      </c>
      <c r="D25" s="12" t="s">
        <v>51</v>
      </c>
      <c r="E25" s="12" t="s">
        <v>650</v>
      </c>
      <c r="F25" s="12" t="s">
        <v>651</v>
      </c>
      <c r="G25" s="12" t="s">
        <v>652</v>
      </c>
    </row>
    <row r="26" spans="1:7" ht="34.5" customHeight="1" x14ac:dyDescent="0.25">
      <c r="A26" s="29" t="s">
        <v>653</v>
      </c>
      <c r="B26" s="32" t="s">
        <v>558</v>
      </c>
      <c r="C26" s="14" t="s">
        <v>570</v>
      </c>
      <c r="D26" s="14" t="s">
        <v>84</v>
      </c>
      <c r="E26" s="12" t="s">
        <v>654</v>
      </c>
      <c r="F26" s="12" t="s">
        <v>655</v>
      </c>
      <c r="G26" s="12" t="s">
        <v>656</v>
      </c>
    </row>
    <row r="27" spans="1:7" ht="23.25" customHeight="1" x14ac:dyDescent="0.25">
      <c r="A27" s="29" t="s">
        <v>657</v>
      </c>
      <c r="B27" s="30" t="s">
        <v>552</v>
      </c>
      <c r="C27" s="14" t="s">
        <v>570</v>
      </c>
      <c r="D27" s="14" t="s">
        <v>39</v>
      </c>
      <c r="E27" s="12" t="s">
        <v>658</v>
      </c>
      <c r="F27" s="12" t="s">
        <v>659</v>
      </c>
      <c r="G27" s="12" t="s">
        <v>660</v>
      </c>
    </row>
    <row r="28" spans="1:7" ht="23.25" customHeight="1" x14ac:dyDescent="0.25">
      <c r="A28" s="29" t="s">
        <v>661</v>
      </c>
      <c r="B28" s="32" t="s">
        <v>558</v>
      </c>
      <c r="C28" s="14" t="s">
        <v>570</v>
      </c>
      <c r="D28" s="14" t="s">
        <v>587</v>
      </c>
      <c r="E28" s="12" t="s">
        <v>662</v>
      </c>
      <c r="F28" s="12" t="s">
        <v>663</v>
      </c>
      <c r="G28" s="12" t="s">
        <v>664</v>
      </c>
    </row>
    <row r="29" spans="1:7" ht="15" customHeight="1" x14ac:dyDescent="0.25">
      <c r="A29" s="29" t="s">
        <v>665</v>
      </c>
      <c r="B29" s="35" t="s">
        <v>611</v>
      </c>
      <c r="C29" s="14" t="s">
        <v>570</v>
      </c>
      <c r="D29" s="14" t="s">
        <v>39</v>
      </c>
      <c r="E29" s="12" t="s">
        <v>666</v>
      </c>
      <c r="F29" s="12" t="s">
        <v>667</v>
      </c>
      <c r="G29" s="12" t="s">
        <v>668</v>
      </c>
    </row>
    <row r="30" spans="1:7" ht="34.5" customHeight="1" x14ac:dyDescent="0.25">
      <c r="A30" s="29" t="s">
        <v>669</v>
      </c>
      <c r="B30" s="39" t="s">
        <v>670</v>
      </c>
      <c r="C30" s="14" t="s">
        <v>570</v>
      </c>
      <c r="D30" s="14" t="s">
        <v>671</v>
      </c>
      <c r="E30" s="12" t="s">
        <v>672</v>
      </c>
      <c r="F30" s="12" t="s">
        <v>673</v>
      </c>
      <c r="G30" s="12" t="s">
        <v>674</v>
      </c>
    </row>
    <row r="31" spans="1:7" ht="45.75" customHeight="1" x14ac:dyDescent="0.25">
      <c r="A31" s="29" t="s">
        <v>675</v>
      </c>
      <c r="B31" s="32" t="s">
        <v>558</v>
      </c>
      <c r="C31" s="14" t="s">
        <v>570</v>
      </c>
      <c r="D31" s="14" t="s">
        <v>676</v>
      </c>
      <c r="E31" s="12" t="s">
        <v>677</v>
      </c>
      <c r="F31" s="12" t="s">
        <v>678</v>
      </c>
      <c r="G31" s="12" t="s">
        <v>679</v>
      </c>
    </row>
    <row r="32" spans="1:7" ht="23.25" customHeight="1" x14ac:dyDescent="0.25">
      <c r="A32" s="29" t="s">
        <v>680</v>
      </c>
      <c r="B32" s="35" t="s">
        <v>611</v>
      </c>
      <c r="C32" s="14" t="s">
        <v>570</v>
      </c>
      <c r="D32" s="14" t="s">
        <v>51</v>
      </c>
      <c r="E32" s="12" t="s">
        <v>681</v>
      </c>
      <c r="F32" s="12" t="s">
        <v>682</v>
      </c>
      <c r="G32" s="12" t="s">
        <v>683</v>
      </c>
    </row>
    <row r="33" spans="1:7" ht="79.5" customHeight="1" x14ac:dyDescent="0.25">
      <c r="A33" s="12" t="s">
        <v>684</v>
      </c>
      <c r="B33" s="12" t="s">
        <v>558</v>
      </c>
      <c r="C33" s="12" t="s">
        <v>685</v>
      </c>
      <c r="D33" s="12" t="s">
        <v>686</v>
      </c>
      <c r="E33" s="12" t="s">
        <v>687</v>
      </c>
      <c r="F33" s="12" t="s">
        <v>688</v>
      </c>
      <c r="G33" s="12" t="s">
        <v>689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Inventory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Darrell Tessman</cp:lastModifiedBy>
  <cp:revision>0</cp:revision>
  <dcterms:created xsi:type="dcterms:W3CDTF">2026-06-14T13:48:21Z</dcterms:created>
  <dcterms:modified xsi:type="dcterms:W3CDTF">2026-06-18T13:57:10Z</dcterms:modified>
  <dc:language>en-US</dc:language>
</cp:coreProperties>
</file>